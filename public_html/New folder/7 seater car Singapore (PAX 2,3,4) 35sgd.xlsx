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I:\My Drive\Singapore\NEW EXCEL SHEETS FOR TRANSFER + SIGHTSEEN\"/>
    </mc:Choice>
  </mc:AlternateContent>
  <bookViews>
    <workbookView xWindow="0" yWindow="0" windowWidth="18885" windowHeight="6795" activeTab="1"/>
  </bookViews>
  <sheets>
    <sheet name="Table 2" sheetId="2" r:id="rId1"/>
    <sheet name="Sheet1" sheetId="32" r:id="rId2"/>
    <sheet name="Sheet2" sheetId="33" r:id="rId3"/>
    <sheet name="Sheet3" sheetId="34" r:id="rId4"/>
    <sheet name="Table 3" sheetId="31" state="hidden" r:id="rId5"/>
  </sheets>
  <definedNames>
    <definedName name="_xlnm._FilterDatabase" localSheetId="0" hidden="1">'Table 2'!$A$9:$F$12</definedName>
    <definedName name="_xlnm.Print_Area" localSheetId="0">'Table 2'!$A$2:$E$21,'Table 2'!$A$24:$E$126</definedName>
    <definedName name="_xlnm.Print_Area" localSheetId="4">'Table 3'!$A$1:$C$27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2" l="1"/>
  <c r="G15" i="2"/>
  <c r="G16" i="2"/>
  <c r="G17" i="2"/>
  <c r="G13" i="2" l="1"/>
  <c r="B152" i="2" l="1"/>
  <c r="B153" i="2"/>
  <c r="B154" i="2"/>
  <c r="B155" i="2"/>
  <c r="B156" i="2"/>
  <c r="B157" i="2"/>
  <c r="B158" i="2"/>
  <c r="B159" i="2"/>
  <c r="B160" i="2"/>
  <c r="B161" i="2"/>
  <c r="B162" i="2"/>
  <c r="B163" i="2"/>
  <c r="B164" i="2"/>
  <c r="B151" i="2"/>
  <c r="G12" i="2"/>
  <c r="J12" i="2"/>
  <c r="J13" i="2"/>
  <c r="J14" i="2"/>
  <c r="J15" i="2"/>
  <c r="J16" i="2"/>
  <c r="I12" i="2"/>
  <c r="I13" i="2"/>
  <c r="I14" i="2"/>
  <c r="I15" i="2"/>
  <c r="H12" i="2"/>
  <c r="H13" i="2"/>
  <c r="H14" i="2"/>
  <c r="H15" i="2"/>
  <c r="H16" i="2"/>
  <c r="G8" i="2" l="1"/>
  <c r="J7" i="2" l="1"/>
  <c r="G7" i="2"/>
  <c r="H7" i="2" s="1"/>
  <c r="I7" i="2" s="1"/>
  <c r="J11" i="2" l="1"/>
  <c r="J17" i="2"/>
  <c r="J10" i="2"/>
  <c r="I16" i="2"/>
  <c r="I17" i="2"/>
  <c r="H17" i="2"/>
  <c r="I11" i="2"/>
  <c r="H11" i="2"/>
  <c r="G11" i="2"/>
  <c r="I10" i="2"/>
  <c r="G10" i="2"/>
  <c r="G19" i="2" l="1"/>
  <c r="J19" i="2"/>
  <c r="J8" i="2"/>
  <c r="K8" i="2" s="1"/>
  <c r="L8" i="2"/>
  <c r="M8" i="2" s="1"/>
  <c r="H10" i="2"/>
  <c r="H8" i="2"/>
  <c r="I8" i="2" s="1"/>
  <c r="H19" i="2" l="1"/>
  <c r="I19" i="2"/>
  <c r="I20" i="2" s="1"/>
  <c r="G22" i="2" s="1"/>
  <c r="I9" i="2"/>
  <c r="K9" i="2"/>
  <c r="M9" i="2"/>
  <c r="I22" i="2" l="1"/>
  <c r="H22" i="2"/>
</calcChain>
</file>

<file path=xl/sharedStrings.xml><?xml version="1.0" encoding="utf-8"?>
<sst xmlns="http://schemas.openxmlformats.org/spreadsheetml/2006/main" count="419" uniqueCount="386">
  <si>
    <t xml:space="preserve">       Travel Itinerary                 </t>
  </si>
  <si>
    <t xml:space="preserve">Client Name: 
Contact Number: </t>
  </si>
  <si>
    <t>CNB</t>
  </si>
  <si>
    <t>Guest Name : -- 
Guest Number : --</t>
  </si>
  <si>
    <t>PLACE</t>
  </si>
  <si>
    <t>PERIOD OF STAY</t>
  </si>
  <si>
    <t>Adult</t>
  </si>
  <si>
    <t>EA</t>
  </si>
  <si>
    <t>Day -Date ( Approx )</t>
  </si>
  <si>
    <t>Pick-Up Time</t>
  </si>
  <si>
    <t>Pick-Up Point</t>
  </si>
  <si>
    <t xml:space="preserve">Tour/Tranasfer program </t>
  </si>
  <si>
    <t>Meal</t>
  </si>
  <si>
    <t>TBA</t>
  </si>
  <si>
    <t xml:space="preserve">Breakfast At Hotel. </t>
  </si>
  <si>
    <t>Adult Price PP</t>
  </si>
  <si>
    <t>EA Price PP</t>
  </si>
  <si>
    <t>Remark:</t>
  </si>
  <si>
    <t>Price IncludeS:</t>
  </si>
  <si>
    <t>3 STAR</t>
  </si>
  <si>
    <t>4 STAR</t>
  </si>
  <si>
    <t>5 STAR</t>
  </si>
  <si>
    <t>Meeting Point</t>
  </si>
  <si>
    <t>AIRPORT</t>
  </si>
  <si>
    <t>INTERNATIONAL ARRIVAL</t>
  </si>
  <si>
    <t>DOMESTIC ARRIVAL</t>
  </si>
  <si>
    <t>HO CHI MINH</t>
  </si>
  <si>
    <t>ARRIVAL PILLAR - 10 GF</t>
  </si>
  <si>
    <t>ARRIVAL HALL- A1</t>
  </si>
  <si>
    <t>HANOI</t>
  </si>
  <si>
    <t>T2 - GATE A &amp; GATE B</t>
  </si>
  <si>
    <t>T1 - GATE A,B,E</t>
  </si>
  <si>
    <t>DANANG</t>
  </si>
  <si>
    <t>GATE 5</t>
  </si>
  <si>
    <t>PHU QUOC</t>
  </si>
  <si>
    <t>Exit Gate</t>
  </si>
  <si>
    <t>Terms &amp; Conditions | Advisory Notes</t>
  </si>
  <si>
    <t>Arrival Notes:</t>
  </si>
  <si>
    <t xml:space="preserve">➢ On the starting day of Tour, Once client local vietnameese number received then WhatsApp group will be created by us, kindly use that for any further communication.   </t>
  </si>
  <si>
    <t>➢ Guest need to proceed to the Arrival Or Exit Gate &amp; look for airport representative with guest name on Pla card.</t>
  </si>
  <si>
    <t>➢ Customer need to wait for 10-15 minutes at the arrival gate once they meet our Airport Representative, Because car park at parking point.</t>
  </si>
  <si>
    <t>➢ The maximum waiting period is 90 mins from time of flight landing.</t>
  </si>
  <si>
    <t>➢ All Tours and Transfer max waiting period is 10 min SIC basis and 30 Min on PVT Basis.</t>
  </si>
  <si>
    <t>➢ Guest need to take care of their belongings while leaving Hotel or Car, We will not be responsible for any belongings.</t>
  </si>
  <si>
    <t>Hotel Notes:</t>
  </si>
  <si>
    <t>➢ Standard Check in Time: 02:00 Pm *Early check in is subject to hotel availability &amp; hotel may charge directly to the guest.</t>
  </si>
  <si>
    <t>➢ Standard Check out Time: 11:00 Am Late checkout subject to hotel availability &amp; hotel may charge directly to the guest.</t>
  </si>
  <si>
    <t>➢ Hotel may ask for SECURITY DEPOSIT up to 200 USD Or Passport depends on the hotels policy.</t>
  </si>
  <si>
    <t>➢ For any room facilities, hotel facilities and car parking enquiries, please contact the Hotel Reception directly.</t>
  </si>
  <si>
    <t>Sightseeing Notes:</t>
  </si>
  <si>
    <t>➢ Guest are not required to carry Passport for any sightseeing.</t>
  </si>
  <si>
    <t>➢ In case of heavy traffic or raining, pick up time may vary by 30-45 mins.</t>
  </si>
  <si>
    <t>➢ For Visit to Island, all guest are advised to carry extra pair of clothes, towel and slippers.</t>
  </si>
  <si>
    <t xml:space="preserve">         This is a quotation only; no hotel bookings have been made.</t>
  </si>
  <si>
    <t xml:space="preserve">         Reservations will be processed only upon receiving confirmation.</t>
  </si>
  <si>
    <t xml:space="preserve">         Rates and room availability are subject to change and will be reconfirmed at the time of booking.</t>
  </si>
  <si>
    <t xml:space="preserve">         The quoted rates are valid only if the number of participants remains unchanged.</t>
  </si>
  <si>
    <t xml:space="preserve">         Prices are subject to change without prior notice and do not apply during peak surcharge periods.</t>
  </si>
  <si>
    <t xml:space="preserve">         Bedding configuration (Double/Twin) is at the discretion of the hotel and will be confirmed upon check-in, subject to availability.</t>
  </si>
  <si>
    <t xml:space="preserve">        Additional Charges &amp; Conditions:</t>
  </si>
  <si>
    <t xml:space="preserve">        Bank Remittance Charges: SGD 30.00 per transaction   (Not applicable for INR payments to an Indian account)</t>
  </si>
  <si>
    <t xml:space="preserve">        Midnight Surcharge: SGD 10.00 per person per way   (Applicable for transfers between 2200 hrs – 0700 hrs)</t>
  </si>
  <si>
    <t xml:space="preserve">        Hotel Check-In/Check-Out Policy:</t>
  </si>
  <si>
    <t xml:space="preserve">        Standard Check-In: 1500 hrs</t>
  </si>
  <si>
    <t xml:space="preserve">        Standard Check-Out: 1100 hrs</t>
  </si>
  <si>
    <t xml:space="preserve">        Early Check-In/Late Check-Out may incur additional charges and are subject to hotel availability.</t>
  </si>
  <si>
    <t>Important Ticketing &amp; Attraction Terms</t>
  </si>
  <si>
    <t>Dated &amp; Non-Refundable Tickets:</t>
  </si>
  <si>
    <t>Time-Slot Reservations &amp; Availability:</t>
  </si>
  <si>
    <t xml:space="preserve">       Please note that some attractions require advance time-slot reservations and may not operate on a regular daily basis.</t>
  </si>
  <si>
    <t xml:space="preserve">       Bookings are subject to availability at the time of payment.</t>
  </si>
  <si>
    <t xml:space="preserve">       Prices and availability may change until payment is confirmed.</t>
  </si>
  <si>
    <t xml:space="preserve">       Final itineraries will be scheduled according to the operational hours and availability of the attractions.</t>
  </si>
  <si>
    <t xml:space="preserve">       Attraction Closure Notice:</t>
  </si>
  <si>
    <r>
      <rPr>
        <b/>
        <sz val="11"/>
        <color theme="1"/>
        <rFont val="Times New Roman"/>
        <family val="1"/>
      </rPr>
      <t xml:space="preserve">       SEA Aquarium and Dolphin Island will be closed from 1st May to end of July due to maintenance/operational reasons. Please plan your visit accordingly.</t>
    </r>
    <r>
      <rPr>
        <b/>
        <sz val="11"/>
        <color rgb="FF0070C0"/>
        <rFont val="Times New Roman"/>
        <family val="1"/>
      </rPr>
      <t xml:space="preserve">
</t>
    </r>
  </si>
  <si>
    <t xml:space="preserve">       Mandatory Entry Requirement for Singapore:</t>
  </si>
  <si>
    <t xml:space="preserve">       All travelers to Singapore must complete the SG Arrival Card and Electronic Health Declaration online within 3 days prior to arrival.</t>
  </si>
  <si>
    <t xml:space="preserve">       This is mandatory for all travelers, including short-term visitors.</t>
  </si>
  <si>
    <t xml:space="preserve">       Submission must be done via the official and free e-service provided by the Immigration &amp; Checkpoints Authority (ICA) of Singapore.</t>
  </si>
  <si>
    <t>Submit here:</t>
  </si>
  <si>
    <t>https://eservices.ica.gov.sg/sgarrivalcard/</t>
  </si>
  <si>
    <t>RESPONSIBILITY FOR TAXES:</t>
  </si>
  <si>
    <t xml:space="preserve">        Any items/services not explicitly mentioned in the inclusions section are not covered and may incur additional costs.</t>
  </si>
  <si>
    <t xml:space="preserve">Exclusions: </t>
  </si>
  <si>
    <t xml:space="preserve">        Tickets for the following attractions are strictly non-refundable and valid only for the booked date:</t>
  </si>
  <si>
    <t xml:space="preserve">        Universal Studios \  SEA Aquarium \ Night Safari \ Marina Bay Sands SkyPark Observation Deck,</t>
  </si>
  <si>
    <t xml:space="preserve">        Wings of Time \ iFly Singapore \ Dolphin Encounter / Discovery \ Museum of Ice Cream
</t>
  </si>
  <si>
    <t xml:space="preserve">        Luge &amp; Skyride \ Cable Car &amp; Wings of Time (Combo)</t>
  </si>
  <si>
    <t>Tax Collected at Source (TCS) Disclaimer:</t>
  </si>
  <si>
    <t>Your Vacation shall not be liable or responsible for the collection, remittance, or filing of any TCS on behalf of the Company or its clients.</t>
  </si>
  <si>
    <t>Mandatory Documents Upon Booking Confirmation:</t>
  </si>
  <si>
    <t>The following documents must be submitted for each passenger upon confirmation of the booking:</t>
  </si>
  <si>
    <t>Copy of VISA</t>
  </si>
  <si>
    <t>Copy of PAN Card</t>
  </si>
  <si>
    <t>Copy of Passport</t>
  </si>
  <si>
    <t>Copy of Flight Ticket</t>
  </si>
  <si>
    <t>TCS Declaration (as applicable)</t>
  </si>
  <si>
    <t>Important Note:</t>
  </si>
  <si>
    <t>Effective 1st July 2023, it is mandatory that the passenger’s PAN card is linked with Aadhar.
Unlinked PAN cards will not be accepted as valid documentation for travel-related bookings.</t>
  </si>
  <si>
    <t xml:space="preserve"> HOTEL NAME ( With Breakfast )</t>
  </si>
  <si>
    <t>Singapore Airport</t>
  </si>
  <si>
    <t>Singapore</t>
  </si>
  <si>
    <t>Note : Any Airport pickup waiting time 1 Hour from the time of landing of flight. And pickup time from hotel for any international flight 4 hour before departure time, If Any Flight Delay / Early inform us in advance.If any flight early/delay/cancelled due to any reason are not responsible for pickup/drop or missed flight due to pickup/drop. Extra charges applicable in pickup/drop to/from airport without prior information of above.</t>
  </si>
  <si>
    <t>Remark 1 : Buy local Sim card at Arrival Airport and send us guest number on our whatsup number for communication. In any airport pickup /drop 1 bag of 15Kg luggage bag per person and 1 hand bag 7 kg per person allowed in car, if more bags extra charges pay by guest.</t>
  </si>
  <si>
    <t xml:space="preserve"> SINGAPORE HOTELS </t>
  </si>
  <si>
    <t xml:space="preserve">V Hotel Lavender </t>
  </si>
  <si>
    <t>V Hotel Bencoolen</t>
  </si>
  <si>
    <t>Aqueen Prestige Hotel Jalan Besar</t>
  </si>
  <si>
    <t>Aqueen Prestige Hotel Lavender</t>
  </si>
  <si>
    <t>Hotel Chancellor</t>
  </si>
  <si>
    <t>Ibis Styles Singapore Albert</t>
  </si>
  <si>
    <t>Ibis Budget Selegie</t>
  </si>
  <si>
    <t>Ibis Budget Imperial</t>
  </si>
  <si>
    <t>Ibis Novena</t>
  </si>
  <si>
    <t>Ibis Bencoolen</t>
  </si>
  <si>
    <t>Village Hotel Bugis</t>
  </si>
  <si>
    <t>Village Hotel Albert Court</t>
  </si>
  <si>
    <t>Mercure Singapore Tyrwhitt</t>
  </si>
  <si>
    <t>PARKROYAL on Beach Road</t>
  </si>
  <si>
    <t>Novotel Singapore On Kitchener</t>
  </si>
  <si>
    <t>Furama Riverfront</t>
  </si>
  <si>
    <t>Furama City Center</t>
  </si>
  <si>
    <t>Hotel MI Bencoolen</t>
  </si>
  <si>
    <t>Copthorn Kings</t>
  </si>
  <si>
    <t>Oasia Hotel Novena</t>
  </si>
  <si>
    <t>Hotel Traveltine</t>
  </si>
  <si>
    <t>Hotel Boss</t>
  </si>
  <si>
    <t>Goodwood Park Hotel</t>
  </si>
  <si>
    <t>Grand Copthorne Waterfront</t>
  </si>
  <si>
    <t>Orchard Hotel</t>
  </si>
  <si>
    <t>One Farrer Hotel</t>
  </si>
  <si>
    <t>Concorde Hotel</t>
  </si>
  <si>
    <t>Pan Pacific Singapore</t>
  </si>
  <si>
    <t>Pan Pacific Orchard</t>
  </si>
  <si>
    <t>Parkroyal Collection Marina Bay</t>
  </si>
  <si>
    <t>ADULT RATE</t>
  </si>
  <si>
    <t>EXTRA ADULT</t>
  </si>
  <si>
    <t>CHILD NO BED</t>
  </si>
  <si>
    <t xml:space="preserve">                                                                                               HOTEL NAME</t>
  </si>
  <si>
    <t>Arrival at Singapore Airport - Transfer to Hotel.</t>
  </si>
  <si>
    <t>Pick up from Hotel - Singapore Airport Drop</t>
  </si>
  <si>
    <t>Value Hotel Thomson</t>
  </si>
  <si>
    <t>Departure Date :  4 July 2025</t>
  </si>
  <si>
    <t>Hotel</t>
  </si>
  <si>
    <t>Quote No. : ES 102</t>
  </si>
  <si>
    <t xml:space="preserve">        No Refund Policy:</t>
  </si>
  <si>
    <t xml:space="preserve">        Car \ Van waiting Charges are not include in Transfer rates so Client have to pay it by their own</t>
  </si>
  <si>
    <t xml:space="preserve">        In the event of attraction closures or disruptions due to weather conditions, unforeseen circumstances, technical issues, or unused tickets during tours, no refund will be provided. Guests are 
        advised to  approach the attraction staff on-site for any possible service recovery or alternative arrangements.</t>
  </si>
  <si>
    <t>It remains the sole responsibility of the Travel Agent (hereinafter referred to as "the Company" booking the package with Your Vacation) to collect and file Tax Collected at Source 
(TCS) as applicable under Section 206C(1G) of the Income Tax Act.</t>
  </si>
  <si>
    <t>Pick up From Ferry / Cruise Terminal - Hotel Drop</t>
  </si>
  <si>
    <t xml:space="preserve">Pick up From Hotel / Drop at Ferry / Cruise Terminal </t>
  </si>
  <si>
    <t>Pick up From Bus Terminal - Hotel Drop</t>
  </si>
  <si>
    <t>Pick up From Hotel - Bus Terminal Drop</t>
  </si>
  <si>
    <t>Child</t>
  </si>
  <si>
    <t>Transfer</t>
  </si>
  <si>
    <t>CWB PRICE PP</t>
  </si>
  <si>
    <t>Dinner</t>
  </si>
  <si>
    <t>Lunch</t>
  </si>
  <si>
    <t>Dinner &amp; Lunch</t>
  </si>
  <si>
    <t>N/A</t>
  </si>
  <si>
    <t>------</t>
  </si>
  <si>
    <t>Pick up From Airport - Hotel Drop - Pick up from hotel 5:00 PM - Gardens By The Bay + Marina Bay Sends Sky Park - Hotel Drop 9:00PM</t>
  </si>
  <si>
    <t>Pick up From hotel 12:00 AM - Half Day Singapore City Tour - Hotel Drop 3:00PM</t>
  </si>
  <si>
    <t>Pick up From Airport - Hotel Drop - Hotel Pick up 5:00 PM - Marina Bay Sands Sky Park Observation Deck - Hotel Drop 8:00PM</t>
  </si>
  <si>
    <t>Pick up From Airport - Hotel Drop - Hotel Pick up 5:00 PM - Bird Paradise - Hotel Drop 8:00PM</t>
  </si>
  <si>
    <t>Pick up From Airport - Hotel Drop - Hotel Pick up 5:00 PM- Night Safari Tour - Hotel Drop 9:00PM</t>
  </si>
  <si>
    <t>Pick up From Hotel 5:00 PM- Night Safari Tour - Hotel Drop 9:00PM</t>
  </si>
  <si>
    <t>Pick up From Hotel 9:00 AM - Full Day Sentosa Island Tour (1 Way Cable Car + Madame Tussauds + Wings Of Time) - Hotel Drop 8:30PM</t>
  </si>
  <si>
    <t>Pick up from Hotel 9:00 AM - Full day Sentosa Island Tour (1Way Cable Car +Madame Tussauds 5 In 1+ Wings Of Time) - Hotel Drop 8:30PM</t>
  </si>
  <si>
    <t>Pick up from Hotel  9:00 AM - Full day Sentosa Island Tour (2Way Cable Car + Siloso Beach + Wings Of Time) - Hotel Drop 8:30PM</t>
  </si>
  <si>
    <t>Pick up From Hotel 9:00 AM - Full Day Sentosa Island Tour ( 1 Way Cable Car + Luge and Sky Ride + Wings Of Time) - Hotel Drop 8:30PM</t>
  </si>
  <si>
    <t>Pick up From Hotel 9:00 AM - Full Day Universal studio - Hotel Drop 7:00PM</t>
  </si>
  <si>
    <t>Pick up From Hotel 9:00 AM - Full Day Universal studio ( 1 Way Cable Car + Wings Of Time) - Hotel Drop 8:30PM</t>
  </si>
  <si>
    <t>Pick up From Hotel 12:00 AM - Gardens By The Bay (Super Tree + Cloud Forest) + Sky Park @ Marina Bay Sands Sky Park - Hotel Drop 7:00PM</t>
  </si>
  <si>
    <t>Pick up From Hotel 10:00 AM- Bird Paradise + Singapore Zoo - Hotel Drop 4:00PM</t>
  </si>
  <si>
    <t>Pick up From Hotel 9:00 AM - Sentosa Island ( 1Way Cable Car + SEA Aquarium + Luge &amp; Sky Ride + Univarsal Studios +Wings of Time) - Hotel Drop 8:30PM</t>
  </si>
  <si>
    <t>Pick up From Hotel 9:00AM - Univarsal Studios + Santosa Island (1 Way Cable Car + Luge &amp; Sky Ride + Wings Of Time) - Hotel Drop 8:30PM</t>
  </si>
  <si>
    <t>Pick up From Hotel  9:00 AM - Half day City Tour + Bird Paradise - Hotel Drop 4:00PM</t>
  </si>
  <si>
    <t>Pick up From Hotel 1:00 PM- Gardens By The Bay (Super Tree + Cloud Forest) + Night Safari - Hotel Drop 8:00PM</t>
  </si>
  <si>
    <t>Pick up From Hotel 12:00 AM - Marina bay Sand Sky Park Observation Deck + Night Safari - Hotel Drop 8:00PM</t>
  </si>
  <si>
    <t>Pick up From Hotel 9:00AM - Half Day City Tour + Gardens ByThe Bay (2 Domes ) + Sends Sky Park Observation Deck - Hotel Drop 5:00PM</t>
  </si>
  <si>
    <t>Pick up From Hotel 12:00 AM- Bird Paradise + Night Safari - Hotel Drop 8:00PM</t>
  </si>
  <si>
    <t>Pick up From Hotel 9:00 AM - Singapore City Tour + Sentosa Tour ( 1 Way Cable car + SEA Aqurium + Wings Of Time) - Hotel Drop 8:30PM</t>
  </si>
  <si>
    <t>Pick up From Hotel 9:00 AM- Univarsal Studios + SEA Aqurium + Hotel Drop 7:00PM</t>
  </si>
  <si>
    <t>Pick up From Hotel 9:00 AM- Singapore Zoo + River Wonders - Hotel Drop 4:00PM</t>
  </si>
  <si>
    <t>Pick up From Hotel 9:00 AM - Marina bay Sand Sky Park Observation Deck + Singapore Flyer - Hotel Drop 3:00PM</t>
  </si>
  <si>
    <t>Pick up From Hotel 9:00 AM - Sentosa Island ( 1Way Cable Car +Wings of Time) - Hotel Drop 8:30PM</t>
  </si>
  <si>
    <t>Pick up From Hotel 12:00 AM - Art &amp; Science Musiume - Hotel Drop 3:00PM</t>
  </si>
  <si>
    <t>Pick up From Hotel 5:00 PM- Singapore Zoo - Hotel Drop 8:00PM</t>
  </si>
  <si>
    <t xml:space="preserve">Pick up From Hotel - Fix Date &amp; Time Duck Tour - Hotel Drop </t>
  </si>
  <si>
    <t>Pick up From Hotel 9:00 AM - Sentosa Island Cable Car Ride - Hotel Drop 8:30PM</t>
  </si>
  <si>
    <t>Pick up From Hotel 9:00 AM - Gardens by the bay + Marina Bay Sands Sky Park - Hotel Drop 4:00PM</t>
  </si>
  <si>
    <t>Pick up From Airport - Cruise Terminal Drop</t>
  </si>
  <si>
    <t>Pick up From Cruise Terminal - Airport Drop</t>
  </si>
  <si>
    <t xml:space="preserve">♦Time to say Good Bye to a Beautiful Singapore City.
♦With lots of Good Memories and Photos.
♦Our Private Car Will Drop you to The Airport for Your Departure.
</t>
  </si>
  <si>
    <r>
      <rPr>
        <sz val="12"/>
        <color theme="1"/>
        <rFont val="Times New Roman"/>
        <family val="1"/>
      </rPr>
      <t>● ARRIVAL SINGAPORE AIRPORT</t>
    </r>
    <r>
      <rPr>
        <sz val="10"/>
        <color theme="1"/>
        <rFont val="Times New Roman"/>
        <family val="1"/>
      </rPr>
      <t xml:space="preserve">
♦ Arrive In Jewel Changi International Airport.
♦ Our Private Car Will Pick You Up From The Airport And Head Towards The Hotel.
♦ Early Check-in is not included . Take Necessary Rest After Flight.
• After that by 5:00PM you will be taken to Bird Paradise here you can explore:
- Penguin cove
- Crimson Wetlands
- Heart of Africa
- Winged Sanctuary
• You can also Enjoy Shows:
- Predators on Wings
- Wings of the World
After enjoying in Birdparadise you will be dropped off to your hotel by 8:00PM
</t>
    </r>
  </si>
  <si>
    <r>
      <t>·</t>
    </r>
    <r>
      <rPr>
        <sz val="10"/>
        <color rgb="FF000000"/>
        <rFont val="Times New Roman"/>
        <family val="1"/>
      </rPr>
      <t> </t>
    </r>
    <r>
      <rPr>
        <sz val="10"/>
        <color rgb="FF000000"/>
        <rFont val="Calibri"/>
        <family val="2"/>
      </rPr>
      <t xml:space="preserve">After taking your breakfast be ready our tour guide will pick up you by 9:00AM towards your next exploration to Sentosa Saver.at there you can explore:
- You are going through </t>
    </r>
    <r>
      <rPr>
        <b/>
        <sz val="10"/>
        <color rgb="FF000000"/>
        <rFont val="Calibri"/>
        <family val="2"/>
      </rPr>
      <t>Cable car</t>
    </r>
    <r>
      <rPr>
        <sz val="10"/>
        <color rgb="FF000000"/>
        <rFont val="Calibri"/>
        <family val="2"/>
      </rPr>
      <t xml:space="preserve"> to the island 
- Then enjoy with your</t>
    </r>
    <r>
      <rPr>
        <b/>
        <sz val="10"/>
        <color rgb="FF000000"/>
        <rFont val="Calibri"/>
        <family val="2"/>
      </rPr>
      <t xml:space="preserve"> Luge &amp; Sky rides</t>
    </r>
    <r>
      <rPr>
        <sz val="10"/>
        <color rgb="FF000000"/>
        <rFont val="Calibri"/>
        <family val="2"/>
      </rPr>
      <t xml:space="preserve">
- Then you can take a lunch by your own 
- Then you can</t>
    </r>
    <r>
      <rPr>
        <b/>
        <sz val="10"/>
        <color rgb="FF000000"/>
        <rFont val="Calibri"/>
        <family val="2"/>
      </rPr>
      <t xml:space="preserve"> relax at the Siloso beach</t>
    </r>
    <r>
      <rPr>
        <sz val="10"/>
        <color rgb="FF000000"/>
        <rFont val="Calibri"/>
        <family val="2"/>
      </rPr>
      <t xml:space="preserve">
- In the evening you can enjoy </t>
    </r>
    <r>
      <rPr>
        <b/>
        <sz val="10"/>
        <color rgb="FF000000"/>
        <rFont val="Calibri"/>
        <family val="2"/>
      </rPr>
      <t>Wings of Time show</t>
    </r>
    <r>
      <rPr>
        <sz val="10"/>
        <color rgb="FF000000"/>
        <rFont val="Calibri"/>
        <family val="2"/>
      </rPr>
      <t xml:space="preserve"> by 7:40 PM
• Then you will be picked up from your pick up point towards your hotel by 8:30 PM
</t>
    </r>
  </si>
  <si>
    <t>Pick up From Hotel 11:00 AM - Half day City Tour with Singapore Flyer - Hotel Drop 2:00PM</t>
  </si>
  <si>
    <r>
      <rPr>
        <sz val="10"/>
        <color theme="1"/>
        <rFont val="Calibri"/>
        <family val="2"/>
      </rPr>
      <t>•Afret Taking your breakfast be ready to explore Singapore City 
 by 11:00AM our vahical will take you for Singapore City tour at there you can see:
- Merlion Park
- Chinatown
- Little India
- Lunch at a hawker center by your own
- Orchard Road
• Then by 2:00PM you will be dropped off to your hotel.
Now You Can enjoy hotel poolside or walk around near by market</t>
    </r>
    <r>
      <rPr>
        <sz val="10"/>
        <color rgb="FF2E74B5"/>
        <rFont val="Calibri"/>
        <family val="2"/>
      </rPr>
      <t xml:space="preserve">
</t>
    </r>
  </si>
  <si>
    <r>
      <rPr>
        <sz val="10"/>
        <color theme="1"/>
        <rFont val="Calibri"/>
        <family val="2"/>
      </rPr>
      <t>• Today after your breakfast our tour guide will pick up you by 9:00AM
• Full day visit to Universal Studios Singapore Including:
- Hollywood Zone, 
- New York Zone, 
- Battle star Galactica, 
- Transformers, 
- Revenge Of the Mummy, 
- The lost World, 
- Shark 4-D Adventure, 
- Madagascar
After your amazing experience of Universal studios you will be dropped off to your hotel by 6:00PM. Then you can relax at your hotel or Rome around your hotel.</t>
    </r>
    <r>
      <rPr>
        <sz val="10"/>
        <color rgb="FF2E74B5"/>
        <rFont val="Calibri"/>
        <family val="2"/>
      </rPr>
      <t xml:space="preserve">
</t>
    </r>
  </si>
  <si>
    <r>
      <t xml:space="preserve">• Today after your breakfast our tour guide will pick up you by 9:00AM
- Start your day with a scenic </t>
    </r>
    <r>
      <rPr>
        <b/>
        <sz val="10"/>
        <color theme="1"/>
        <rFont val="Calibri"/>
        <family val="2"/>
      </rPr>
      <t xml:space="preserve">1-way Cable Car ride </t>
    </r>
    <r>
      <rPr>
        <sz val="10"/>
        <color theme="1"/>
        <rFont val="Calibri"/>
        <family val="2"/>
      </rPr>
      <t xml:space="preserve">into Sentosa, taking in panoramic views of the city and sea. 
- Then dive into the thrills at </t>
    </r>
    <r>
      <rPr>
        <b/>
        <sz val="10"/>
        <color theme="1"/>
        <rFont val="Calibri"/>
        <family val="2"/>
      </rPr>
      <t>Universal Studios Singapore</t>
    </r>
    <r>
      <rPr>
        <sz val="10"/>
        <color theme="1"/>
        <rFont val="Calibri"/>
        <family val="2"/>
      </rPr>
      <t xml:space="preserve"> – with world-class rides, shows, and movie-themed zones for all ages.
- In the evening, unwind with the spectacular </t>
    </r>
    <r>
      <rPr>
        <b/>
        <sz val="10"/>
        <color theme="1"/>
        <rFont val="Calibri"/>
        <family val="2"/>
      </rPr>
      <t xml:space="preserve">Wings of Time </t>
    </r>
    <r>
      <rPr>
        <sz val="10"/>
        <color theme="1"/>
        <rFont val="Calibri"/>
        <family val="2"/>
      </rPr>
      <t>– a dazzling night show featuring water, lights, and fireworks by the beach.
- Non-stop excitement from sky to screen to sea!
Then you will be dropped off to your Hotel by 8:30PM</t>
    </r>
  </si>
  <si>
    <r>
      <t xml:space="preserve">After taking your break fast be ready to your exploration day with Sentosa Tour here you can enjoy:
- Enjoy a </t>
    </r>
    <r>
      <rPr>
        <b/>
        <sz val="10"/>
        <color rgb="FF000000"/>
        <rFont val="Times New Roman"/>
        <family val="1"/>
      </rPr>
      <t>2-way Cable Car ride</t>
    </r>
    <r>
      <rPr>
        <sz val="10"/>
        <color rgb="FF000000"/>
        <rFont val="Times New Roman"/>
        <family val="1"/>
      </rPr>
      <t xml:space="preserve"> with stunning views of Singapore’s skyline and Sentosa’s lush landscape.
 - Spend a relaxing afternoon at </t>
    </r>
    <r>
      <rPr>
        <b/>
        <sz val="10"/>
        <color rgb="FF000000"/>
        <rFont val="Times New Roman"/>
        <family val="1"/>
      </rPr>
      <t>Siloso Beach</t>
    </r>
    <r>
      <rPr>
        <sz val="10"/>
        <color rgb="FF000000"/>
        <rFont val="Times New Roman"/>
        <family val="1"/>
      </rPr>
      <t xml:space="preserve">, perfect for sunbathing, beach games, or grabbing a bite by the sea.
- As the day ends, be amazed by </t>
    </r>
    <r>
      <rPr>
        <b/>
        <sz val="10"/>
        <color rgb="FF000000"/>
        <rFont val="Times New Roman"/>
        <family val="1"/>
      </rPr>
      <t>Wings of Time</t>
    </r>
    <r>
      <rPr>
        <sz val="10"/>
        <color rgb="FF000000"/>
        <rFont val="Times New Roman"/>
        <family val="1"/>
      </rPr>
      <t xml:space="preserve"> – a spectacular outdoor night show featuring lights, water, lasers, and fireworks, set against the open sea.
- A perfect mix of scenic views, beach fun, and evening magic!
Then you will be dropped off to your hotel by 8:30PM
</t>
    </r>
  </si>
  <si>
    <r>
      <rPr>
        <sz val="12"/>
        <color theme="1"/>
        <rFont val="Times New Roman"/>
        <family val="1"/>
      </rPr>
      <t>● ARRIVAL SINGAPORE AIRPORT</t>
    </r>
    <r>
      <rPr>
        <sz val="10"/>
        <color theme="1"/>
        <rFont val="Times New Roman"/>
        <family val="1"/>
      </rPr>
      <t xml:space="preserve">
- Arrive In Jewel Changi International Airport.
-  Our Private Car Will Pick You Up From The Airport And Head Towards The Hotel.
-  Early Check-in is not included . Take Necessary Rest After Flight.
Then our Car will pickup you from Hotel By 5:00PM to Marina Bay Sands Sky Park here you can Enjoy
- Here you can Roam in the luxurious Mall
- You Can do Shopping from top brands outlets
- Enjoy your lunchtime by your own
- You can go on the top of the deck and enjoy 360 degree panoramic view
- Take some photos 
Then You will be dropped off to your hotel by 8:00PM
</t>
    </r>
  </si>
  <si>
    <t xml:space="preserve">● ARRIVAL SINGAPORE AIRPORT
 Arrive In Jewel Changi International Airport.
-  Our Private Car Will Pick You Up From The Airport And Head Towards The Hotel.
-  Early Check-in is not included . Take Necessary Rest After Flight.
Then you are going to Visit
Marina bay Sands Park here you can explore:
- Here you can Roam in the luxurious Mall
- You Can do Shopping from top brands outlets
- Enjoy your lunchtime by your own
- You can go on the top of the deck and enjoy 360 degree panoramic view
- Take some photos 
</t>
  </si>
  <si>
    <r>
      <rPr>
        <sz val="12"/>
        <color theme="1"/>
        <rFont val="Times New Roman"/>
        <family val="1"/>
      </rPr>
      <t>● ARRIVAL SINGAPORE AIRPORT</t>
    </r>
    <r>
      <rPr>
        <sz val="10"/>
        <color theme="1"/>
        <rFont val="Times New Roman"/>
        <family val="1"/>
      </rPr>
      <t xml:space="preserve">
- Arrive In Jewel Changi International Airport.
-  Our Private Car Will Pick You Up From The Airport And Head Towards The Hotel.
-  Early Check-in is not included . Take Necessary Rest After Flight.
</t>
    </r>
  </si>
  <si>
    <r>
      <t xml:space="preserve">Today you are going to explore Sentosa Island by 9:00AM
Start your adventure with a scenic 
- </t>
    </r>
    <r>
      <rPr>
        <b/>
        <sz val="10"/>
        <color rgb="FF000000"/>
        <rFont val="Times New Roman"/>
        <family val="1"/>
      </rPr>
      <t>1-way Cable Car ride</t>
    </r>
    <r>
      <rPr>
        <sz val="10"/>
        <color rgb="FF000000"/>
        <rFont val="Times New Roman"/>
        <family val="1"/>
      </rPr>
      <t xml:space="preserve"> offering stunning aerial views of Singapore. 
On Sentosa, dive into the world of fame at </t>
    </r>
    <r>
      <rPr>
        <b/>
        <sz val="10"/>
        <color rgb="FF000000"/>
        <rFont val="Times New Roman"/>
        <family val="1"/>
      </rPr>
      <t>Madame Tussauds 5-in-1</t>
    </r>
    <r>
      <rPr>
        <sz val="10"/>
        <color rgb="FF000000"/>
        <rFont val="Times New Roman"/>
        <family val="1"/>
      </rPr>
      <t xml:space="preserve"> – - featuring </t>
    </r>
    <r>
      <rPr>
        <b/>
        <sz val="10"/>
        <color rgb="FF000000"/>
        <rFont val="Times New Roman"/>
        <family val="1"/>
      </rPr>
      <t xml:space="preserve">wax figures, 
- the Spirit of Singapore boat ride,
 - Images of Singapore LIVE,
 - Marvel 4D Cinema, and
 - the Ultimate Film Star Experience.
- Wrap up your day with Wings of Time a breath taking night show.
</t>
    </r>
    <r>
      <rPr>
        <sz val="10"/>
        <color rgb="FF000000"/>
        <rFont val="Times New Roman"/>
        <family val="1"/>
      </rPr>
      <t xml:space="preserve">Then you will be dropped off to your hotel by 8:30PM
</t>
    </r>
  </si>
  <si>
    <t>Today you are going to visit Gardens by the Bay by 12:00AM
- Wander through the stunning Flower Dome, home to exotic blooms from around the world, and marvel at the towering Supertree Grove – a futuristic forest of vertical gardens.
- Then, head to the Marina Bay Sands SkyPark for panoramic views of Singapore’s skyline from one of the city’s most iconic rooftops.
- A perfect blend of nature, architecture, and breathtaking views!
Then return to your hotel by 7:00PM</t>
  </si>
  <si>
    <t>Today by 10:00AM enjoy 
-Start your day at Bird Paradise, Asia’s largest bird park, where vibrant aviaries, walk-through habitats, and interactive feeding sessions bring you up close to over 3,500 birds from around the world.
-Continue the adventure at the world-renowned Singapore Zoo, home to over 2,800 animals in beautifully landscaped, open-concept habitats. Get up close with wildlife, enjoy animal presentations, and experience one of the best rainforest zoos globally.
Then return to your Hotel by 4:00PM</t>
  </si>
  <si>
    <t xml:space="preserve">• After taking your breakfast be ready our tour guide will pick up you by 9:00AM towards your next exploration to Sentosa Saver.at there you can explore:
- You are going through Cable car to the island 
- Visit S.E.A. Aquarium
- Then enjoy with your Luge &amp; Sky rides
- Then go to Universal Studios and enjoy rides 
- In the evening you can enjoy Wings of the Time show
Then you will be dropped off to your hotel by 8:30 PM
</t>
  </si>
  <si>
    <t xml:space="preserve">• Today by 12:00AM our Vahical will take you for Singapore City tour at there you can see:
- Merlion Park
- Chinatown
- Little India
- Orchard Road
• Then you are taken to the Night Safari by 5:00PM here you can enjoy:
- Tram ride
- Walking Trails
- Creature of the Night Show
- Keeper talks and Feeding Sessions
- Animals you can explore there: Big cats, Asian wild Dogs, Tapirs, Red dears, African Lion, Indian Gaur, Cape buffalo, Malayan Tiger, Asian Elephant, Giant Monitor Lizard, Fishing Cat Etc...
• And then go back to your Hotel by 8:00PM. Take your Dinner by your own and relax.
</t>
  </si>
  <si>
    <t>Pick up From Hotel 12:00 AM - Half day City Tour + Night Safari - Hotel Drop 8:00PM</t>
  </si>
  <si>
    <t>Arrival Date : 25 Oct 2025</t>
  </si>
  <si>
    <t>Travel Date :  25 Oct 2025</t>
  </si>
  <si>
    <t xml:space="preserve">3 Nights / 4 Days </t>
  </si>
  <si>
    <t>●Arriving by ferry or cruise? Skip the hassle and start your stay smoothly with our prompt pickup service from the terminal, delivering you comfortably and directly to your hotel. Relax—we’ve got your arrival covered.</t>
  </si>
  <si>
    <t xml:space="preserve">●Let's Pack your bags "Enjoy a hassle-free start to your journey with our convenient hotel pickup and smooth drop-off at the ferry / Cruise terminal—comfort, punctuality, and peace of mind, all in one ride."
</t>
  </si>
  <si>
    <t>●Arriving at the bus terminal? Let us take care of the next step. Our friendly and efficient transfer service picks you up right on arrival and takes you directly to your hotel—comfortably, safely, and without the stress.</t>
  </si>
  <si>
    <t>●Wrap up your stay without the stress. Our professional transfer service picks you up from your hotel and drops you off at the bus terminal comfortably and on time, ensuring a smooth and worry-free departure.</t>
  </si>
  <si>
    <t>●Touch down and set sail with ease. Our professional airport pickup service ensures a smooth transition from your flight to the cruise terminal. With timely pickups, comfortable vehicles, and friendly assistance, you can skip the stress and start your cruise adventure relaxed and ready.</t>
  </si>
  <si>
    <t>●End your cruise as smoothly as it began with our reliable transfer service. We’ll pick you up directly from the cruise terminal and ensure a comfortable, on-time ride to the airport—so you can travel home relaxed and worry-free."</t>
  </si>
  <si>
    <r>
      <t xml:space="preserve">Today by 1:00 PM you are going to visit
Wander through the stunning Flower Dome, home to exotic blooms from around the world, and marvel at the towering Supertree Grove – a futuristic forest of vertical gardens.
• Then you are taken to the Night Safari by 5:00PM here you can enjoy:
- </t>
    </r>
    <r>
      <rPr>
        <b/>
        <sz val="10"/>
        <color theme="1"/>
        <rFont val="Times New Roman"/>
        <family val="1"/>
      </rPr>
      <t>Tram ride
- Walking Trails
- Creature of the Night Show
- Keeper talks and Feeding Sessions</t>
    </r>
    <r>
      <rPr>
        <sz val="10"/>
        <color theme="1"/>
        <rFont val="Times New Roman"/>
        <family val="1"/>
      </rPr>
      <t xml:space="preserve">
- Animals you can explore there: Big cats, Asian wild Dogs, Tapirs, Red dears, African Lion, Indian Gaur, Cape buffalo, Malayan Tiger, Asian Elephant, Giant Monitor Lizard, Fishing Cat Etc...
• And then go back to your Hotel by 8:00PM. Take your Dinner by your own and relax.</t>
    </r>
  </si>
  <si>
    <r>
      <t xml:space="preserve">• After taking your breakfast be ready our tour guide will pick up you by 9:00AM towards your next exploration to Sentosa Saver.at there you can explore:
- You are going through Cable car to the island 
- </t>
    </r>
    <r>
      <rPr>
        <b/>
        <sz val="10"/>
        <color rgb="FF000000"/>
        <rFont val="Times New Roman"/>
        <family val="1"/>
      </rPr>
      <t>Then enjoy with your Luge &amp; Sky rides</t>
    </r>
    <r>
      <rPr>
        <sz val="10"/>
        <color rgb="FF000000"/>
        <rFont val="Times New Roman"/>
        <family val="1"/>
      </rPr>
      <t xml:space="preserve">
- Then go to</t>
    </r>
    <r>
      <rPr>
        <b/>
        <sz val="10"/>
        <color rgb="FF000000"/>
        <rFont val="Times New Roman"/>
        <family val="1"/>
      </rPr>
      <t xml:space="preserve"> Universal Studios</t>
    </r>
    <r>
      <rPr>
        <sz val="10"/>
        <color rgb="FF000000"/>
        <rFont val="Times New Roman"/>
        <family val="1"/>
      </rPr>
      <t xml:space="preserve"> and enjoy rides 
- In the evening you can enjoy </t>
    </r>
    <r>
      <rPr>
        <b/>
        <sz val="10"/>
        <color rgb="FF000000"/>
        <rFont val="Times New Roman"/>
        <family val="1"/>
      </rPr>
      <t>Wings of the Time show</t>
    </r>
    <r>
      <rPr>
        <sz val="10"/>
        <color rgb="FF000000"/>
        <rFont val="Times New Roman"/>
        <family val="1"/>
      </rPr>
      <t xml:space="preserve">
Then you will be dropped off to your hotel by 8:30 PM
</t>
    </r>
  </si>
  <si>
    <r>
      <t xml:space="preserve">• After breakfast our Vahical will pick you up by 9:00AM and start with you on your journey to Singapore city tour.
- </t>
    </r>
    <r>
      <rPr>
        <b/>
        <sz val="10"/>
        <color rgb="FF000000"/>
        <rFont val="Times New Roman"/>
        <family val="1"/>
      </rPr>
      <t>Merlion Park
- Chinatown
- Little India
- Lunch at a hawker center by your own
- Orchard Road</t>
    </r>
    <r>
      <rPr>
        <sz val="10"/>
        <color rgb="FF000000"/>
        <rFont val="Times New Roman"/>
        <family val="1"/>
      </rPr>
      <t xml:space="preserve">
• After that our Vahical will pick up you towards your next exploration to </t>
    </r>
    <r>
      <rPr>
        <b/>
        <sz val="10"/>
        <color rgb="FF000000"/>
        <rFont val="Times New Roman"/>
        <family val="1"/>
      </rPr>
      <t>Sentosa Saver</t>
    </r>
    <r>
      <rPr>
        <sz val="10"/>
        <color rgb="FF000000"/>
        <rFont val="Times New Roman"/>
        <family val="1"/>
      </rPr>
      <t>.at there you can explore:
- You are going through Cable car to the island 
- Visit</t>
    </r>
    <r>
      <rPr>
        <b/>
        <sz val="10"/>
        <color rgb="FF000000"/>
        <rFont val="Times New Roman"/>
        <family val="1"/>
      </rPr>
      <t xml:space="preserve"> S.E.A. Aquarium</t>
    </r>
    <r>
      <rPr>
        <sz val="10"/>
        <color rgb="FF000000"/>
        <rFont val="Times New Roman"/>
        <family val="1"/>
      </rPr>
      <t xml:space="preserve">
- In the evening you can enjoy </t>
    </r>
    <r>
      <rPr>
        <b/>
        <sz val="10"/>
        <color rgb="FF000000"/>
        <rFont val="Times New Roman"/>
        <family val="1"/>
      </rPr>
      <t>Wings of the Time show</t>
    </r>
    <r>
      <rPr>
        <sz val="10"/>
        <color rgb="FF000000"/>
        <rFont val="Times New Roman"/>
        <family val="1"/>
      </rPr>
      <t xml:space="preserve">
Then you will be dropped off to your hotel by 8:30 PM
</t>
    </r>
  </si>
  <si>
    <r>
      <t xml:space="preserve">●After taking your breakfast be ready our tour guide will pick up you by 9:00AM towards your next exploration to Universal Studios There you can enjoy
- </t>
    </r>
    <r>
      <rPr>
        <b/>
        <sz val="10"/>
        <color rgb="FF000000"/>
        <rFont val="Times New Roman"/>
        <family val="1"/>
      </rPr>
      <t>Hollywood Zone, 
- New York Zone, 
- Battle star Galactica, 
- Transformers, 
- Revenge Of the Mummy, 
- The lost World, 
- Shark 4-D Adventure, 
- Madagascar
- Visit S.E.A. Aquarium</t>
    </r>
    <r>
      <rPr>
        <sz val="10"/>
        <color rgb="FF000000"/>
        <rFont val="Times New Roman"/>
        <family val="1"/>
      </rPr>
      <t xml:space="preserve">
Then you will be dropped off to your hotel by 7:00 PM
</t>
    </r>
  </si>
  <si>
    <r>
      <t xml:space="preserve">●Today you will be taken by 9:00AM towards singapore zoo
- Begin your day at the award-winning </t>
    </r>
    <r>
      <rPr>
        <b/>
        <sz val="10"/>
        <color rgb="FF000000"/>
        <rFont val="Times New Roman"/>
        <family val="1"/>
      </rPr>
      <t>Singapore Zoo,</t>
    </r>
    <r>
      <rPr>
        <sz val="10"/>
        <color rgb="FF000000"/>
        <rFont val="Times New Roman"/>
        <family val="1"/>
      </rPr>
      <t xml:space="preserve"> where over 2,800 animals roam in lush, open habitats. Enjoy close encounters, engaging shows, and a stroll through a world-class rainforest zoo.
- Next, explore Asia’s first and only River-themed wildlife park –</t>
    </r>
    <r>
      <rPr>
        <b/>
        <sz val="10"/>
        <color rgb="FF000000"/>
        <rFont val="Times New Roman"/>
        <family val="1"/>
      </rPr>
      <t xml:space="preserve"> River Wonders</t>
    </r>
    <r>
      <rPr>
        <sz val="10"/>
        <color rgb="FF000000"/>
        <rFont val="Times New Roman"/>
        <family val="1"/>
      </rPr>
      <t>. Discover iconic river habitats, meet manatees, giant pandas, and freshwater creatures from the Amazon to the Mekong.
A perfect day of animal adventures across land and river!
Then return to Hotel by 4:00PM</t>
    </r>
  </si>
  <si>
    <r>
      <t>●Today you are pick up by 9:00 AM towards Marina bay Sends
-Take in Singapore’s stunning cityscape from two iconic heights! Start at the</t>
    </r>
    <r>
      <rPr>
        <b/>
        <sz val="10"/>
        <color rgb="FF000000"/>
        <rFont val="Times New Roman"/>
        <family val="1"/>
      </rPr>
      <t xml:space="preserve"> Marina Bay Sands SkyPark Observation Deck</t>
    </r>
    <r>
      <rPr>
        <sz val="10"/>
        <color rgb="FF000000"/>
        <rFont val="Times New Roman"/>
        <family val="1"/>
      </rPr>
      <t xml:space="preserve">, where panoramic views stretch across the bay, Gardens by the Bay, and the bustling skyline.
-Then, soar 165 meters high on the </t>
    </r>
    <r>
      <rPr>
        <b/>
        <sz val="10"/>
        <color rgb="FF000000"/>
        <rFont val="Times New Roman"/>
        <family val="1"/>
      </rPr>
      <t>Singapore Flyer,</t>
    </r>
    <r>
      <rPr>
        <sz val="10"/>
        <color rgb="FF000000"/>
        <rFont val="Times New Roman"/>
        <family val="1"/>
      </rPr>
      <t xml:space="preserve"> one of the world’s largest observation wheels, offering a unique 360° perspective of Marina Bay and beyond in a relaxing 30-minute ride.
Two breathtaking views, one unforgettable experience!
Then go back to your hotel by 3:00PM</t>
    </r>
  </si>
  <si>
    <r>
      <t xml:space="preserve">● After taking your breakfast be ready our tour guide will pick up you by 9:00AM towards your next exploration to </t>
    </r>
    <r>
      <rPr>
        <b/>
        <sz val="10"/>
        <color rgb="FF000000"/>
        <rFont val="Times New Roman"/>
        <family val="1"/>
      </rPr>
      <t xml:space="preserve">Sentosa </t>
    </r>
    <r>
      <rPr>
        <sz val="10"/>
        <color rgb="FF000000"/>
        <rFont val="Times New Roman"/>
        <family val="1"/>
      </rPr>
      <t>at there you can explore:
- You are going through</t>
    </r>
    <r>
      <rPr>
        <b/>
        <sz val="10"/>
        <color rgb="FF000000"/>
        <rFont val="Times New Roman"/>
        <family val="1"/>
      </rPr>
      <t xml:space="preserve"> Cable car </t>
    </r>
    <r>
      <rPr>
        <sz val="10"/>
        <color rgb="FF000000"/>
        <rFont val="Times New Roman"/>
        <family val="1"/>
      </rPr>
      <t xml:space="preserve">to the island 
- Then you can relax at the Siloso beach
- In the evening you can enjoy </t>
    </r>
    <r>
      <rPr>
        <b/>
        <sz val="10"/>
        <color rgb="FF000000"/>
        <rFont val="Times New Roman"/>
        <family val="1"/>
      </rPr>
      <t>Wings of the Time show</t>
    </r>
    <r>
      <rPr>
        <sz val="10"/>
        <color rgb="FF000000"/>
        <rFont val="Times New Roman"/>
        <family val="1"/>
      </rPr>
      <t xml:space="preserve"> by 7:40 PM
• Then you will be picked up from your pick up point towards your hotel by 8:15 PM
</t>
    </r>
  </si>
  <si>
    <r>
      <t xml:space="preserve">●Today by 12:00 AM you are going to visit Art &amp; Science Musiume
- Step into a world where art, science, technology, and culture collide! The iconic </t>
    </r>
    <r>
      <rPr>
        <b/>
        <sz val="10"/>
        <color rgb="FF000000"/>
        <rFont val="Times New Roman"/>
        <family val="1"/>
      </rPr>
      <t>ArtScience Museum at Marina Bay Sands</t>
    </r>
    <r>
      <rPr>
        <sz val="10"/>
        <color rgb="FF000000"/>
        <rFont val="Times New Roman"/>
        <family val="1"/>
      </rPr>
      <t xml:space="preserve"> features stunning, interactive exhibitions that blend creativity with innovation.
- Explore permanent exhibitions like Future World, a digital art playground by teamLab, and rotating exhibits featuring international art, science breakthroughs, and immersive experiences.
Perfect for curious minds and creative souls of all ages!
Then go back to your hotel by 3:00PM
</t>
    </r>
  </si>
  <si>
    <r>
      <t xml:space="preserve">●This tour is Fix dated and timed tour
Hop on the </t>
    </r>
    <r>
      <rPr>
        <b/>
        <sz val="10"/>
        <color rgb="FF000000"/>
        <rFont val="Times New Roman"/>
        <family val="1"/>
      </rPr>
      <t>DUCKtour,</t>
    </r>
    <r>
      <rPr>
        <sz val="10"/>
        <color rgb="FF000000"/>
        <rFont val="Times New Roman"/>
        <family val="1"/>
      </rPr>
      <t xml:space="preserve"> Singapore’s original land-and-sea adventure! Ride in a refurbished WWII amphibious vehicle that takes you from the city streets to a splash into </t>
    </r>
    <r>
      <rPr>
        <b/>
        <sz val="10"/>
        <color rgb="FF000000"/>
        <rFont val="Times New Roman"/>
        <family val="1"/>
      </rPr>
      <t>Marina Bay</t>
    </r>
    <r>
      <rPr>
        <sz val="10"/>
        <color rgb="FF000000"/>
        <rFont val="Times New Roman"/>
        <family val="1"/>
      </rPr>
      <t xml:space="preserve"> — all without switching vehicles.
Cruise past landmarks like the Merlion, Esplanade, and </t>
    </r>
    <r>
      <rPr>
        <b/>
        <sz val="10"/>
        <color rgb="FF000000"/>
        <rFont val="Times New Roman"/>
        <family val="1"/>
      </rPr>
      <t xml:space="preserve">Marina Bay Sands, </t>
    </r>
    <r>
      <rPr>
        <sz val="10"/>
        <color rgb="FF000000"/>
        <rFont val="Times New Roman"/>
        <family val="1"/>
      </rPr>
      <t>while learning fun facts from a live guide.
Perfect for families and first-time visitors — it’s sightseeing with a splash of fun!</t>
    </r>
  </si>
  <si>
    <r>
      <t>●Today go for Sentosa by 9:00AM
-Soar above the city with the</t>
    </r>
    <r>
      <rPr>
        <b/>
        <sz val="10"/>
        <color rgb="FF000000"/>
        <rFont val="Times New Roman"/>
        <family val="1"/>
      </rPr>
      <t xml:space="preserve"> Sentosa Cable Car</t>
    </r>
    <r>
      <rPr>
        <sz val="10"/>
        <color rgb="FF000000"/>
        <rFont val="Times New Roman"/>
        <family val="1"/>
      </rPr>
      <t xml:space="preserve">, offering breathtaking panoramic views of Singapore’s skyline, harbor, and lush greenery.
-Travel between </t>
    </r>
    <r>
      <rPr>
        <b/>
        <sz val="10"/>
        <color rgb="FF000000"/>
        <rFont val="Times New Roman"/>
        <family val="1"/>
      </rPr>
      <t>Mount Faber,and Sentosa Island</t>
    </r>
    <r>
      <rPr>
        <sz val="10"/>
        <color rgb="FF000000"/>
        <rFont val="Times New Roman"/>
        <family val="1"/>
      </rPr>
      <t xml:space="preserve"> in comfort and style. It’s not just transportation—it’s a scenic experience with stunning photo opportunities.
The most exciting way to arrive at Sentosa!
Then explore </t>
    </r>
    <r>
      <rPr>
        <b/>
        <sz val="10"/>
        <color rgb="FF000000"/>
        <rFont val="Times New Roman"/>
        <family val="1"/>
      </rPr>
      <t>sentosa lsland</t>
    </r>
    <r>
      <rPr>
        <sz val="10"/>
        <color rgb="FF000000"/>
        <rFont val="Times New Roman"/>
        <family val="1"/>
      </rPr>
      <t xml:space="preserve"> by your own choice 
Then come back to your hotel by 8:30PM</t>
    </r>
  </si>
  <si>
    <r>
      <t>● After breakfast our Vahical will pick you up by 9:00AM and start with you on your journey 
Visit Gardens by the Bay (Cloud Forest &amp; Flower Dome).
●</t>
    </r>
    <r>
      <rPr>
        <b/>
        <sz val="10"/>
        <color rgb="FF000000"/>
        <rFont val="Times New Roman"/>
        <family val="1"/>
      </rPr>
      <t xml:space="preserve"> Cloud Forest:</t>
    </r>
    <r>
      <rPr>
        <sz val="10"/>
        <color rgb="FF000000"/>
        <rFont val="Times New Roman"/>
        <family val="1"/>
      </rPr>
      <t xml:space="preserve">
- Mist –filled tropical mountain climate
- Features as 35-meter indoor waterfall
- Lush vegetation from tropical highlands
- A walk along elevated walkways and cloud walk
●</t>
    </r>
    <r>
      <rPr>
        <b/>
        <sz val="10"/>
        <color rgb="FF000000"/>
        <rFont val="Times New Roman"/>
        <family val="1"/>
      </rPr>
      <t xml:space="preserve"> Flower Dome:</t>
    </r>
    <r>
      <rPr>
        <sz val="10"/>
        <color rgb="FF000000"/>
        <rFont val="Times New Roman"/>
        <family val="1"/>
      </rPr>
      <t xml:space="preserve">
- World’s largest glass greenhouse
- Features a cool-dry climate
- Showcase plants from Mediterranean and semi-arid regions
- Themed floral displays that change seasonally.
● Then Visit </t>
    </r>
    <r>
      <rPr>
        <b/>
        <sz val="10"/>
        <color rgb="FF000000"/>
        <rFont val="Times New Roman"/>
        <family val="1"/>
      </rPr>
      <t>Marina Bay Sands sky Park Observation Deck:</t>
    </r>
    <r>
      <rPr>
        <sz val="10"/>
        <color rgb="FF000000"/>
        <rFont val="Times New Roman"/>
        <family val="1"/>
      </rPr>
      <t xml:space="preserve"> 
- For a panoramic night skyline views
● Then you will be dropped off to your Hotel by 5:00 PM.
</t>
    </r>
  </si>
  <si>
    <r>
      <t>• After taking Your Breakfast our Car will take you for Singapore City tour at there you can see:
-</t>
    </r>
    <r>
      <rPr>
        <b/>
        <sz val="10"/>
        <color rgb="FF000000"/>
        <rFont val="Times New Roman"/>
        <family val="1"/>
      </rPr>
      <t xml:space="preserve"> Merlion Park
- Chinatown
- Little India
- Lunch at a hawker center by your own
- Orchard Road</t>
    </r>
    <r>
      <rPr>
        <sz val="10"/>
        <color rgb="FF000000"/>
        <rFont val="Times New Roman"/>
        <family val="1"/>
      </rPr>
      <t xml:space="preserve">
Then You will be dropped off to your hotel by 3:00PM</t>
    </r>
  </si>
  <si>
    <r>
      <rPr>
        <sz val="12"/>
        <color theme="1"/>
        <rFont val="Times New Roman"/>
        <family val="1"/>
      </rPr>
      <t>● ARRIVAL SINGAPORE AIRPORT</t>
    </r>
    <r>
      <rPr>
        <sz val="10"/>
        <color theme="1"/>
        <rFont val="Times New Roman"/>
        <family val="1"/>
      </rPr>
      <t xml:space="preserve">
♦ Arrive In Jewel Changi International Airport.
♦ Our Private Car Will Pick You Up From The Airport And Head Towards The Hotel.
♦ Early Check-in is not included . Take Necessary Rest After Flight.
• Then you are taken to the Night Safari by 5:00PM here you can enjoy:
- </t>
    </r>
    <r>
      <rPr>
        <b/>
        <sz val="10"/>
        <color theme="1"/>
        <rFont val="Times New Roman"/>
        <family val="1"/>
      </rPr>
      <t>Tram ride
- Walking Trails
- Creature of the Night Show
- Keeper talks and Feeding Sessions</t>
    </r>
    <r>
      <rPr>
        <sz val="10"/>
        <color theme="1"/>
        <rFont val="Times New Roman"/>
        <family val="1"/>
      </rPr>
      <t xml:space="preserve">
- Animals you can explore there: Big cats, Asian wild Dogs, Tapirs, Red dears, African Lion, Indian Gaur, Cape buffalo, Malayan Tiger, Asian Elephant, Giant Monitor Lizard, Fishing Cat Etc...
• And then go back to your Hotel by 9:00PM. Take your Dinner by your own and relax.
</t>
    </r>
  </si>
  <si>
    <r>
      <t xml:space="preserve">• After Taking your Breakfast enjoy at your Hotel Pool side then by 5:00PM Let’s Start your exploration with Night Safari here you can explore:
- </t>
    </r>
    <r>
      <rPr>
        <b/>
        <sz val="10"/>
        <color theme="1"/>
        <rFont val="Times New Roman"/>
        <family val="1"/>
      </rPr>
      <t>Tram ride
- Walking Trails
- Creature of the Night Show
- Keeper talks and Feeding Sessions</t>
    </r>
    <r>
      <rPr>
        <sz val="10"/>
        <color theme="1"/>
        <rFont val="Times New Roman"/>
        <family val="1"/>
      </rPr>
      <t xml:space="preserve">
- Animals you can explore there: Big cats, Asian wild Dogs, Tapirs, Red dears, African Lion, Indian Gaur, Cape buffalo, Malayan Tiger, Asian Elephant, Giant Monitor Lizard, Fishing Cat Etc...
• And then go back to your Hotel by 9:00PM. Take your Dinner by your own and relax.</t>
    </r>
  </si>
  <si>
    <r>
      <t xml:space="preserve">Today you are going to explore Sentosa Island by 9:00AM
- Kick off your Sentosa adventure with a </t>
    </r>
    <r>
      <rPr>
        <b/>
        <sz val="10"/>
        <color theme="1"/>
        <rFont val="Times New Roman"/>
        <family val="1"/>
      </rPr>
      <t>1-way</t>
    </r>
    <r>
      <rPr>
        <sz val="10"/>
        <color theme="1"/>
        <rFont val="Times New Roman"/>
        <family val="1"/>
      </rPr>
      <t xml:space="preserve"> </t>
    </r>
    <r>
      <rPr>
        <b/>
        <sz val="10"/>
        <color theme="1"/>
        <rFont val="Times New Roman"/>
        <family val="1"/>
      </rPr>
      <t xml:space="preserve">Cable Car ride, </t>
    </r>
    <r>
      <rPr>
        <sz val="10"/>
        <color theme="1"/>
        <rFont val="Times New Roman"/>
        <family val="1"/>
      </rPr>
      <t>soaking in stunning views of the city and coastline. 
- Explore</t>
    </r>
    <r>
      <rPr>
        <b/>
        <sz val="10"/>
        <color theme="1"/>
        <rFont val="Times New Roman"/>
        <family val="1"/>
      </rPr>
      <t xml:space="preserve"> Madame Tussauds</t>
    </r>
    <r>
      <rPr>
        <sz val="10"/>
        <color theme="1"/>
        <rFont val="Times New Roman"/>
        <family val="1"/>
      </rPr>
      <t xml:space="preserve"> Singapore, where you’ll meet lifelike wax figures, enjoy immersive exhibits, and step into the spotlight with </t>
    </r>
    <r>
      <rPr>
        <b/>
        <sz val="10"/>
        <color theme="1"/>
        <rFont val="Times New Roman"/>
        <family val="1"/>
      </rPr>
      <t>Marvel 4D</t>
    </r>
    <r>
      <rPr>
        <sz val="10"/>
        <color theme="1"/>
        <rFont val="Times New Roman"/>
        <family val="1"/>
      </rPr>
      <t xml:space="preserve"> and more.
- End your day with the spectacular </t>
    </r>
    <r>
      <rPr>
        <b/>
        <sz val="10"/>
        <color theme="1"/>
        <rFont val="Times New Roman"/>
        <family val="1"/>
      </rPr>
      <t>Wings of Time</t>
    </r>
    <r>
      <rPr>
        <sz val="10"/>
        <color theme="1"/>
        <rFont val="Times New Roman"/>
        <family val="1"/>
      </rPr>
      <t xml:space="preserve"> – a dazzling night show of lights, water, and fireworks set against the open sea.
- A perfect blend of fun, fame, and unforgettable memories!
Then you will be dropped off to your Hotel by 8:30PM</t>
    </r>
  </si>
  <si>
    <r>
      <t xml:space="preserve">• After breakfast our Vahical will pick you up by 9:00AM and start with you on your journey to Singapore city tour.
- </t>
    </r>
    <r>
      <rPr>
        <b/>
        <sz val="10"/>
        <color rgb="FF000000"/>
        <rFont val="Times New Roman"/>
        <family val="1"/>
      </rPr>
      <t>Merlion Park
- Chinatown
- Little India
- Lunch at a hawker center by your own
- Orchard Road</t>
    </r>
    <r>
      <rPr>
        <sz val="10"/>
        <color rgb="FF000000"/>
        <rFont val="Times New Roman"/>
        <family val="1"/>
      </rPr>
      <t xml:space="preserve">
• After that Visit Bird Paradise (new bird park at Mandai) here you can experience:
- </t>
    </r>
    <r>
      <rPr>
        <b/>
        <sz val="10"/>
        <color rgb="FF000000"/>
        <rFont val="Times New Roman"/>
        <family val="1"/>
      </rPr>
      <t>Penguin cove
- Crimson Wetlands
- Heart of Africa
- Winged Sanctuary</t>
    </r>
    <r>
      <rPr>
        <sz val="10"/>
        <color rgb="FF000000"/>
        <rFont val="Times New Roman"/>
        <family val="1"/>
      </rPr>
      <t xml:space="preserve">
Then you will be dropped off by 4:00PM</t>
    </r>
  </si>
  <si>
    <r>
      <t xml:space="preserve">Today after your breakfast by 12:00AM
- Start your day with stunning 360° views from the Marina Bay Sands SkyPark, overlooking the glittering city skyline and iconic landmarks.
• Then you are taken to the Night Safari by 5:00PM here you can enjoy:
- </t>
    </r>
    <r>
      <rPr>
        <b/>
        <sz val="10"/>
        <color rgb="FF000000"/>
        <rFont val="Times New Roman"/>
        <family val="1"/>
      </rPr>
      <t>Tram ride
- Walking Trails
- Creature of the Night Show
- Keeper talks and Feeding Sessions</t>
    </r>
    <r>
      <rPr>
        <sz val="10"/>
        <color rgb="FF000000"/>
        <rFont val="Times New Roman"/>
        <family val="1"/>
      </rPr>
      <t xml:space="preserve">
- Animals you can explore there: Big cats, Asian wild Dogs, Tapirs, Red dears, African Lion, Indian Gaur, Cape buffalo, Malayan Tiger, Asian Elephant, Giant Monitor Lizard, Fishing Cat Etc...
• And then go back to your Hotel by 8:00PM.
</t>
    </r>
  </si>
  <si>
    <r>
      <t xml:space="preserve">• After breakfast our Vahical will pick you up by 9:00AM and start with you on your journey to Singapore city tour.
- </t>
    </r>
    <r>
      <rPr>
        <b/>
        <sz val="10"/>
        <color rgb="FF000000"/>
        <rFont val="Times New Roman"/>
        <family val="1"/>
      </rPr>
      <t>Merlion Park
- Chinatown
- Little India
- Lunch at a hawker center by your own
- Orchard Road</t>
    </r>
    <r>
      <rPr>
        <sz val="10"/>
        <color rgb="FF000000"/>
        <rFont val="Times New Roman"/>
        <family val="1"/>
      </rPr>
      <t xml:space="preserve">
Then Visit Gardens by the Bay (Cloud Forest &amp; Flower Dome).
•</t>
    </r>
    <r>
      <rPr>
        <b/>
        <sz val="10"/>
        <color rgb="FF000000"/>
        <rFont val="Times New Roman"/>
        <family val="1"/>
      </rPr>
      <t xml:space="preserve"> Cloud Forest:</t>
    </r>
    <r>
      <rPr>
        <sz val="10"/>
        <color rgb="FF000000"/>
        <rFont val="Times New Roman"/>
        <family val="1"/>
      </rPr>
      <t xml:space="preserve">
- Mist –filled tropical mountain climate
- Features as 35-meter indoor waterfall
- Lush vegetation from tropical highlands
- A walk along elevated walkways and cloud walk
• </t>
    </r>
    <r>
      <rPr>
        <b/>
        <sz val="10"/>
        <color rgb="FF000000"/>
        <rFont val="Times New Roman"/>
        <family val="1"/>
      </rPr>
      <t>Flower Dome:</t>
    </r>
    <r>
      <rPr>
        <sz val="10"/>
        <color rgb="FF000000"/>
        <rFont val="Times New Roman"/>
        <family val="1"/>
      </rPr>
      <t xml:space="preserve">
- World’s largest glass greenhouse
- Features a cool-dry climate
- Showcase plants from Mediterranean and semi-arid regions
- Themed floral displays that change seasonally.
• Then Visit </t>
    </r>
    <r>
      <rPr>
        <b/>
        <sz val="10"/>
        <color rgb="FF000000"/>
        <rFont val="Times New Roman"/>
        <family val="1"/>
      </rPr>
      <t xml:space="preserve">Marina Bay Sands sky Park Observation Deck: </t>
    </r>
    <r>
      <rPr>
        <sz val="10"/>
        <color rgb="FF000000"/>
        <rFont val="Times New Roman"/>
        <family val="1"/>
      </rPr>
      <t xml:space="preserve">
- For a panoramic night skyline views
• Then you will be dropped off to your Hotel by 5:00 PM.
</t>
    </r>
  </si>
  <si>
    <r>
      <t>Today you are going to explore singapor's wild life.
- Our vehical will pick up you by 12;00AM towards Bird Paradise
- Spend the day at</t>
    </r>
    <r>
      <rPr>
        <b/>
        <sz val="10"/>
        <color rgb="FF000000"/>
        <rFont val="Times New Roman"/>
        <family val="1"/>
      </rPr>
      <t xml:space="preserve"> Bird Paradise</t>
    </r>
    <r>
      <rPr>
        <sz val="10"/>
        <color rgb="FF000000"/>
        <rFont val="Times New Roman"/>
        <family val="1"/>
      </rPr>
      <t>, home to over 3,500 birds in immersive, walk-through aviaries. Discover vibrant habitats, enjoy interactive feeding sessions, and witness fascinating bird shows.
- As night falls, head to the</t>
    </r>
    <r>
      <rPr>
        <b/>
        <sz val="10"/>
        <color rgb="FF000000"/>
        <rFont val="Times New Roman"/>
        <family val="1"/>
      </rPr>
      <t xml:space="preserve"> Night Safari</t>
    </r>
    <r>
      <rPr>
        <sz val="10"/>
        <color rgb="FF000000"/>
        <rFont val="Times New Roman"/>
        <family val="1"/>
      </rPr>
      <t>, the world’s first nocturnal wildlife park. Explore by tram or walking trails and observe over 900 animals in their natural nighttime environments.
A full day of feathered beauty and thrilling nocturnal encounters!
By 8:00PM you will be dropped off to your Hotel.</t>
    </r>
  </si>
  <si>
    <r>
      <t>●Today by 5:00PM go and explore singapore zoo
- Discover wildlife like never before at the award-winning</t>
    </r>
    <r>
      <rPr>
        <b/>
        <sz val="10"/>
        <color rgb="FF000000"/>
        <rFont val="Times New Roman"/>
        <family val="1"/>
      </rPr>
      <t xml:space="preserve"> Singapore Zoo</t>
    </r>
    <r>
      <rPr>
        <sz val="10"/>
        <color rgb="FF000000"/>
        <rFont val="Times New Roman"/>
        <family val="1"/>
      </rPr>
      <t>, home to over 2,800 animals across 300 species in beautifully designed, open-concept habitats.</t>
    </r>
    <r>
      <rPr>
        <sz val="10"/>
        <color rgb="FF000000"/>
        <rFont val="Times New Roman"/>
        <family val="1"/>
      </rPr>
      <t xml:space="preserve">
A world-class zoo experience set in a lush rainforest environment – fun, educational, and unforgettable!
Then Go back to your Hotel by 8:00PM</t>
    </r>
  </si>
  <si>
    <t xml:space="preserve">                                       4 /  Nights </t>
  </si>
  <si>
    <t xml:space="preserve">                      Total Person = 4 Adults</t>
  </si>
  <si>
    <t>Pick up From Airport - Hotel Drop - Pick up from hotel 5:00 PM - Half Day City Tour - Hotel Drop 8:00PM</t>
  </si>
  <si>
    <t>● ARRIVAL SINGAPORE AIRPORT
 Arrive In Jewel Changi International Airport.
-  Our Private Car Will Pick You Up From The Airport And Head Towards The Hotel.
-  Early Check-in is not included . Take Necessary Rest After Flight.
• After taking some rest by 5:00PM our Car will take you for Singapore City tour at there you can see:
- Merlion Park
- Chinatown
- Little India
- Orchard Road
Then You will be dropped off to your hotel by 8:00PM</t>
  </si>
  <si>
    <t>Free Day For Shopping and Relaxing</t>
  </si>
  <si>
    <t>Pick up From KL coach station - Hotel Drop</t>
  </si>
  <si>
    <t>Pick up From KL coach station - Genting Hotel Drop</t>
  </si>
  <si>
    <t>Pick up From KL Hotel - 4 Hrs City Tour With KL Tower Ticket - Hotel Drop</t>
  </si>
  <si>
    <t>Pick up From KL Hotel - 4 Hrs City Tour With KL Tower Photo Stop  - Hotel Drop</t>
  </si>
  <si>
    <t>Pick up From KL Hotel - 4 Hrs City Tour with Batu Caves with 1 way cable car - Luggage Drop at Genting Hotel</t>
  </si>
  <si>
    <t>Pick up From KL Hotel - 1 way cable car to Genting - Luggage Drop at Genting Hotel</t>
  </si>
  <si>
    <t xml:space="preserve">Pick up From KL Hotel - Full day at Sunway Lagoon 6 Theme Park - Hotel Drop </t>
  </si>
  <si>
    <t>Pick up From Genting Hotel - Drop at Coach Station</t>
  </si>
  <si>
    <t>Pick up From Genting Hotel - Drop at Airport</t>
  </si>
  <si>
    <t>From Genting Hotel to Indoor Theme Park by Walk</t>
  </si>
  <si>
    <t>From Genting Hotel to Out Theme Park by Walk</t>
  </si>
  <si>
    <t>From Genting Hotel to Indoor and Out Door Theme Park</t>
  </si>
  <si>
    <t>Pick up from Hotel 9:00 AM - Full day Sentosa Island Tour (1Way Cable Car +Madame Tussauds 5 In 1
(Madame Tussauds + Images of Singapore + Boat Ride + 4D Marvel + Ultimate Film Star)+ Wings Of Time) - Hotel Drop 8:30PM</t>
  </si>
  <si>
    <t>Pick up From KLIA Airport - Genting with Batu Caves 20 Min Stop with cable car - Luggage Drop at Genting Hotel</t>
  </si>
  <si>
    <t xml:space="preserve"> Genting Skytropolis Indoor Theme + Sky world Outdoor Theme park with Tickets </t>
  </si>
  <si>
    <t>Pick up from KL Hotel - Drop at Coach Station</t>
  </si>
  <si>
    <r>
      <t xml:space="preserve">                                                                                                            </t>
    </r>
    <r>
      <rPr>
        <b/>
        <u/>
        <sz val="11"/>
        <color rgb="FFFF0000"/>
        <rFont val="Times New Roman"/>
        <family val="1"/>
      </rPr>
      <t xml:space="preserve"> SINGAPORE VISA CHECKLIST</t>
    </r>
    <r>
      <rPr>
        <b/>
        <sz val="11"/>
        <color rgb="FF0070C0"/>
        <rFont val="Times New Roman"/>
        <family val="1"/>
      </rPr>
      <t xml:space="preserve">
1) Original Passport with validity of 6 months from the intended date of departure from
Singapore
2) 3 recent studio clicked photographs (35X45 mm, white background, 80% face
coverage, matte finish, without spectacles, with dark shirt/top, hair should be tied
behind, forehead visible)
3) Passenger’s email id &amp; contact number
4) For Salaried: 3 month’s salary slip or employee identity card
5) For Self-employed: Visiting card copy or Letterhead
6) Return ticket
7) Hotel voucher of total stay
8) Marriage certificate if passport is on maiden name
9) For Child: School/College identity card
10) Updated savings account bank statement of last 6 months with sufficient balance
(INR 70,000/- per person)
Note:
• Visa should be applied between 30 days of travel
• Visa processing time is 3 to 4 working days
• Jurisdiction to Apply at Singapore Consulate, Mumbai: Maharashtra, Gujarat, Goa,
Madhya Pradesh, Chhattisgarh, and Orissa</t>
    </r>
  </si>
  <si>
    <t xml:space="preserve">                                                                       SINGAPORE TERMS AND CONDITIONS</t>
  </si>
  <si>
    <r>
      <rPr>
        <b/>
        <u/>
        <sz val="16"/>
        <color rgb="FFFF0000"/>
        <rFont val="Times New Roman"/>
        <family val="1"/>
      </rPr>
      <t>TIPS:</t>
    </r>
    <r>
      <rPr>
        <b/>
        <sz val="11"/>
        <color rgb="FF0070C0"/>
        <rFont val="Times New Roman"/>
        <family val="1"/>
      </rPr>
      <t xml:space="preserve">
1. Singapore is 2hrs 30mins ahead of Indian Standard Time.
Page 2/3
2. For Shopping, we recommend Mustafa Market/City Square Mall/Orchard Road/ Somerset Road/Vivo City/Chinatown/Bugis
Junction and Bugis Street.
3. For Nightlife &amp; Restaurants, we recommend Clarke Quay/Boat Quay/Arab Street / Little India/Emerald Hill/East Coast
Park/Dempsey Hil.
4. Singapore remain constantly hot (temperature never drops below 20°C) and humid and gets fairly steady year-round rainfall.
Cotton clothing is advisable throughout the year.
5. Local means of transportation in the City are Metered Taxis, Mass Rapid Transit {MRT - Metro} and Buses.
6. Changing Money:- Banks can be found all over the city. Exchange rates tend to vary from bank to bank. Money changers do not
charge fees, so you will often get a better overall exchange rate for cash and travelers cheque with them than at the banks. You
will find money changers in just about every shopping centre.
7. Telephones:– Suggest to buy a local SIM card, which are easily available by showing your passport. It is advisable to carry an
international travel adaptor to avoid any inconvenience.
8. Language:- English is well spoken all over Singapore.
</t>
    </r>
  </si>
  <si>
    <t xml:space="preserve">                                                                                                    MALAYSIA TERMS AND CONDITIONS</t>
  </si>
  <si>
    <t>Notes:</t>
  </si>
  <si>
    <t>PETRONAS TWIN TOWER TKT 100 % SUBJECT TO SLOT AVAILABILITY AND EVERY MONDAY CLOSE NO GUARANTEE.</t>
  </si>
  <si>
    <t>Petronas Twin Tower &amp; Melaka Museum are closed on every Monday.</t>
  </si>
  <si>
    <t>Sunway Lagoon, Water Park in Legoland JB &amp; Outdoor Theme Park are on closed every Tuesday.</t>
  </si>
  <si>
    <t>Sealife Aquarium + Theme Park in Legoland JB are closed on Every Wednesday.</t>
  </si>
  <si>
    <t>Terms &amp; Conditions:</t>
  </si>
  <si>
    <t>Above Quotation has Quoted Based on Current ROE. So, at the time of confirmation if ROE has changed then it will effect on FINAL PER PERSON cost.</t>
  </si>
  <si>
    <t>Rates Bases on Minimum 2 Adult.</t>
  </si>
  <si>
    <t>Rooming DBL/TWIN Subject to Hotel Availability.</t>
  </si>
  <si>
    <r>
      <t>If pick up from Kul coach station transfer </t>
    </r>
    <r>
      <rPr>
        <b/>
        <u/>
        <sz val="11"/>
        <color rgb="FF000000"/>
        <rFont val="Arial"/>
        <family val="2"/>
      </rPr>
      <t>SIC/PVT</t>
    </r>
    <r>
      <rPr>
        <b/>
        <sz val="11"/>
        <color rgb="FF000000"/>
        <rFont val="Arial"/>
        <family val="2"/>
      </rPr>
      <t> depends on Vehicle Availability.</t>
    </r>
  </si>
  <si>
    <t>Rooms are subject to availability upon confirmation.</t>
  </si>
  <si>
    <t>If any arrival by night or early morning, then mid night surcharge will be applicable after quotation / confirmation.</t>
  </si>
  <si>
    <t>Infants under 2.5 year / below 90CM height is free any cost for infant Guest have pay directly.</t>
  </si>
  <si>
    <t>Kuala Lumpur:</t>
  </si>
  <si>
    <t>All Tours &amp; Transfers will be on point-to-point basis unless you book a vehicle on a disposal basis from sales team.</t>
  </si>
  <si>
    <t>KL Tower Observation Deck Tkt, Indoor and Outdoor theme park Tkt child &amp; adult price same rates.</t>
  </si>
  <si>
    <t>Normally We provide KL Tower Observation Deck Tkt in KL Tower and We can also provide Sky Deck, Sky Box and Tower Walk depend on package requirements. </t>
  </si>
  <si>
    <t>If City Tour and any other tours will not match on SIC (Sharing Basis) then Extra Charges will be applied.</t>
  </si>
  <si>
    <t>7:30 PM- 7:00 Am between that time any pickup / Drop to APT additional surcharge will be applicable.</t>
  </si>
  <si>
    <t>SIC or PVT Standard pick up from KL – Genting is 9:30 Am and from Genting to KL is 12:15 PM And Max. 15 Min. is waiting Time or else it will be NO SHOW, If Guest wants to change timing, then additional cost chargeable as we must arrange separate vehicle for that Guest * last min changes 100 % cancellation applicable for that transfer.</t>
  </si>
  <si>
    <t>Days are not fixed for any tours on SIC Basis it depends on Daily Vehicle Log.</t>
  </si>
  <si>
    <t>Kuala Lumpur Hotel Tourism Tax Rm 10 per Room per night.</t>
  </si>
  <si>
    <t>Public Holidays surcharge subject to apply in Kul hotel also.</t>
  </si>
  <si>
    <t>Sunway Lagoon 6 Parks (Water Park, Amusement Park, Wildlife Park, Scream Park, Extreme Park &amp; Nickelodeon Park.</t>
  </si>
  <si>
    <t>Sunway Lagoon Tour Morning Pick up from Kul Hotel 9:30 am and Return Back (Sunway to Kul Hotel) around 6:30 PM.</t>
  </si>
  <si>
    <t>Genting Highlands:</t>
  </si>
  <si>
    <r>
      <t>1</t>
    </r>
    <r>
      <rPr>
        <b/>
        <vertAlign val="superscript"/>
        <sz val="11"/>
        <color rgb="FF000000"/>
        <rFont val="Arial"/>
        <family val="2"/>
      </rPr>
      <t>st</t>
    </r>
    <r>
      <rPr>
        <b/>
        <sz val="11"/>
        <color rgb="FF000000"/>
        <rFont val="Arial"/>
        <family val="2"/>
      </rPr>
      <t> Sep 2024 onwards as per Genting management breakfast will be served @ Coffee Terrace, Lobby Level, Genting Grand , Genting Highlands (For Guest Staying in Sky world, First world &amp; Resort Hotel).</t>
    </r>
  </si>
  <si>
    <t>Grand ion Delemon + Ion Majestic, Awana genting hotel guest must take shuttle from reception for cable car ride.</t>
  </si>
  <si>
    <t>Genting Pick up time from grand Ion delemon to Kuala Lumpur @ 12.45 pm</t>
  </si>
  <si>
    <t>Kul Hotel to Genting Pickup at 9-9.30 am </t>
  </si>
  <si>
    <t>Pickup from Awana or First World is 12.30 pm.</t>
  </si>
  <si>
    <t>There is no room service, ac, water bottle in Resort world Genting hotels.</t>
  </si>
  <si>
    <t>Normally We Provide Only One way cable car Tkt in Genting During Genting Day Trip.</t>
  </si>
  <si>
    <t>Genting Day Tour Morning Pick up from Kul Hotel 9:30 am and Return Back (Genting to Kul Hotel) Around 6:30 PM.</t>
  </si>
  <si>
    <t>If Guest missed or lost any ticket, then they must buy directly.</t>
  </si>
  <si>
    <t>Vans for FIT Guest can go till hotel lobby only at Genting.</t>
  </si>
  <si>
    <t>Cable car guest must settle in his own free time driver will drop and do pickup from hotel lobby only.</t>
  </si>
  <si>
    <t>Pahang, Kedah, Penang hotel tourism Tax of Rm 13 Per room per night.</t>
  </si>
  <si>
    <t>Langkawi Island:</t>
  </si>
  <si>
    <t>Island Hopping Tour &amp; Mangrove Tour SIC Pick up Tim from Hotel Around 8:30 AM ONLY &amp; Subject to Weather.</t>
  </si>
  <si>
    <t>Cable Car Langkawi Subject to Weather &amp; Maintenance. </t>
  </si>
  <si>
    <t>Sunset Dinner Cruise Langkawi Pick up timings from Hotel Around 3:20 PM &amp; Subject to Weather.</t>
  </si>
  <si>
    <t>Water Sports activities at Cenang Pantai guests must be managed at his own or can ask any local person in charge and pay directly.</t>
  </si>
  <si>
    <t>MALAYSIA VISA CHECKLIST: 
 1) Passport copy
2) Ticket
3) Hotel</t>
  </si>
  <si>
    <t>Pick up From Hotel 3:00 PM - Gardens By The Bay (Super Tree + Cloud Forest) + Sky Park @ Marina Bay Sands Sky Park - Hotel Drop 8:00PM</t>
  </si>
  <si>
    <t>Detail Itinerary</t>
  </si>
  <si>
    <t>Day 01</t>
  </si>
  <si>
    <t>Day 02</t>
  </si>
  <si>
    <t>Day 03</t>
  </si>
  <si>
    <t>Day 04</t>
  </si>
  <si>
    <t>Day 05</t>
  </si>
  <si>
    <t>Day 06</t>
  </si>
  <si>
    <t>Day 07</t>
  </si>
  <si>
    <t>Day 08</t>
  </si>
  <si>
    <t>Day 09</t>
  </si>
  <si>
    <t>Day 10</t>
  </si>
  <si>
    <t>Day 11</t>
  </si>
  <si>
    <t>Day 12</t>
  </si>
  <si>
    <t>Day 13</t>
  </si>
  <si>
    <t>Day 14</t>
  </si>
  <si>
    <t>Pick up From Airport - Hotel Drop - Pick up From Hotel 5:00 PM - Singapore Panaromic Drive2.5 hrs with Merlion park, &amp; Chinese Temple stop for Pics.
Chinatown, Padang Area drive through only.with Singapore Flyre - Hotel Drop</t>
  </si>
  <si>
    <t xml:space="preserve">Pick up From hotel 9:00 AM - Singapore City Tour 2.5 hrs with Merlion park, Flyer &amp; Chinese Temple stop for Pics.
Chinatown, Padang Area drive through only.-Air port Drop </t>
  </si>
  <si>
    <t>Pick up From KLIA - Hotel Drop</t>
  </si>
  <si>
    <t>Pick up From KLIA Airport -  Enroute Putrajaya Tour With Boat Ride - KL Hotel Drop</t>
  </si>
  <si>
    <t>Pick up From KL Hotel - 1 Day Genting Island Tour with 2way Cable car - KL Hotel Drop</t>
  </si>
  <si>
    <t>Pick up From KL Hotel - 1 Day Genting Island Tour with 2way Cable car + Indoor Theme Park - KL Hotel Drop</t>
  </si>
  <si>
    <t>Pick up From KL Hotel - 1 Day Genting Island Tour with 2way Cable car + Outdoor Theme Park - KL Hotel Drop</t>
  </si>
  <si>
    <t>Pick up From KLIA -  4 Hrs City Tour With KL Tower Photo Stop  - Hotel Drop</t>
  </si>
  <si>
    <t>Pick up From KLIA - Enroute Putrajaya Tour - KL Hotel Drop</t>
  </si>
  <si>
    <t>Pick Up From Genting Hotel - Full Day Sunway Lagoon - KL Hotel Drop</t>
  </si>
  <si>
    <t xml:space="preserve">Pick up From KL Hotel - Full day at Sunway Lagoon - Genting Hotel Drop </t>
  </si>
  <si>
    <t xml:space="preserve">Pick up From KL Hotel - 10 Hrs Tour ( 4 Hrs City Tour With KL Tower Photo Stop + Batu cave 1 Hrs + Genting 5 Hrs Tour ) - KL Hotel Drop </t>
  </si>
  <si>
    <t>Pick up From KL Hotel - Putrajaya Tour - KL Hotel Drop</t>
  </si>
  <si>
    <t xml:space="preserve">       Adult Price :  949 SGD PP ( Hotel + Food + Transport + Activity Sightseen ) </t>
  </si>
  <si>
    <t>Pick up from Singapore Hotel - Singapore Airport Drop</t>
  </si>
  <si>
    <t xml:space="preserve">Pick up From Singapore Hotel / Drop at Ferry / Cruise Terminal </t>
  </si>
  <si>
    <t>Pick up From Singapore Hotel - Bus Terminal Drop</t>
  </si>
  <si>
    <t>Pick up From Singapore Airport - Cruise Terminal Drop</t>
  </si>
  <si>
    <t>Pick up From Cruise Terminal -Singapore Airport Drop</t>
  </si>
  <si>
    <t>Pick up From Singapore Airport - Hotel Drop - Pick up From Hotel 5:00 PM - Singapore Panaromic Drive2.5 hrs with Merlion park, &amp; Chinese Temple stop for Pics.
Chinatown, Padang Area drive through only.with Singapore Flyre - Hotel Drop</t>
  </si>
  <si>
    <t>Pick up From Singapore Airport - Hotel Drop - Pick up from hotel 5:00 PM - Singapore City Tour (2.5 hrs with Merlion park, Flyer &amp; Chinese Temple stop for Pics.
Chinatown, Padang Area drive through only.- Hotel Drop 8:00PM</t>
  </si>
  <si>
    <t>Pick up From Singapore Airport - Hotel Drop - Pick up from hotel 5:00 PM - Marina Bay Sends Sky Park +  Gardens By The Bay - Hotel Drop 9:00PM</t>
  </si>
  <si>
    <t>Pick up From Singapore hotel 12:00 AM - Singapore City Tour 2.5 hrs with Merlion park, Flyer &amp; Chinese Temple stop for Pics.
Chinatown, Padang Area drive through only.- Hotel Drop 3:00PM</t>
  </si>
  <si>
    <t>Pick up From Singapore Airport - Hotel Drop - Hotel Pick up 5:00 PM - Marina Bay Sands Sky Park Observation Deck - Hotel Drop 8:00PM</t>
  </si>
  <si>
    <t>Pick up From Singapore Airport - Hotel Drop - Hotel Pick up 5:00 PM - Bird Paradise - Hotel Drop 8:00PM</t>
  </si>
  <si>
    <t>Pick up From Singapore Airport - Hotel Drop - Hotel Pick up 5:30 PM- Night Safari Tour (with complimentary Tram Ride And Animal show) - Hotel Drop 9:30PM</t>
  </si>
  <si>
    <t>Pick up From Singapore Hotel 5:00 PM- Night Safari Tour (with complimentary Tram Ride And Animal show) - Hotel Drop 9:00PM</t>
  </si>
  <si>
    <t>Pick up From Singapore Hotel 9:00 AM - Full Day Sentosa Island Tour (1 Way Cable Car + Madame Tussauds + Wings Of Time) - Hotel Drop 8:30PM</t>
  </si>
  <si>
    <t>Pick up from Singapore Hotel 9:00 AM - Singapore City Tour 2.5 hrs with Merlion park, Flyer &amp; Chinese Temple stop for Pics.
Chinatown, Padang Area drive through only+ Sentosa Island Tour (1Way Cable Car +Madame Tussauds 4  In 1
(Madame Tussauds + Images of Singapore + 4D Marvel + Ultimate Film Star)+ Wings Of Time) - Hotel Drop 8:30PM</t>
  </si>
  <si>
    <t>Pick up from Singapore Hotel 9:00 AM - Full day Sentosa Island Tour (1Way Cable Car +Madame Tussauds 4  In 1
(Madame Tussauds + Images of Singapore + 4D Marvel + Ultimate Film Star)+ Wings Of Time) - Hotel Drop 8:30PM</t>
  </si>
  <si>
    <t>Pick up from Singapore Hotel 9:00 AM - Full day Sentosa Island Tour (1Way Cable Car +Madame Tussauds 5 In 1
(Madame Tussauds + Images of Singapore + Boat Ride + 4D Marvel + Ultimate Film Star)+ Wings Of Time) - Hotel Drop 8:30PM</t>
  </si>
  <si>
    <t>Pick up from Singapore Hotel  9:00 AM - Full day Sentosa Island Tour (2Way Cable Car + Siloso Beach + Wings Of Time) - Hotel Drop 8:30PM</t>
  </si>
  <si>
    <t>Pick up From Singapore Hotel 9:00 AM - Full Day Sentosa Island Tour ( 1 Way Cable Car + Luge and Sky Ride + Wings Of Time) - Hotel Drop 8:30PM</t>
  </si>
  <si>
    <t>Pick up From Singapore Hotel 10:00 PM - Half day City Tour2.5 hrs withMerlion park, Flyer &amp; Chinese Temple stop for Pics.
Chinatown, Padang Area drive through only. + Sentosa Island Tour  (1Way Cable Car +Madame Tussauds 5 In 1
(Madame Tussauds + Images of Singapore + Boat Ride + 4D Marvel + Ultimate Film Star)   - Hotel Drop 9:15PM</t>
  </si>
  <si>
    <t>Pick up From Singapore Hotel 10:00 PM - Half day City Tour With Merlion park, Flyer &amp; Chinese Temple stop for Pics.Chinatown, Padang Area drive through only.
+ Sentosa Island With Cable car and Wings of Time  - Hotel Drop 9:15PM</t>
  </si>
  <si>
    <t>Pick up From Singapore Hotel 10:00 AM - Half day City Tour 2.5 hrs with Merlion park, &amp; Chinese Temple stop for Pics.
Chinatown, Padang Area drive through only.-with Singapore Flyer - Hotel Drop 2:00PM</t>
  </si>
  <si>
    <t>Pick up From Singapore Hotel 9:00 AM - Full Day Universal studio - Hotel Drop 7:00PM</t>
  </si>
  <si>
    <t>Pick up From Singapore Hotel 9:00 AM - Full Day Universal studio ( 1 Way Cable Car + Wings Of Time) - Hotel Drop 9:15PM</t>
  </si>
  <si>
    <t>Pick up From  Singapore Hotel 12:00 PM -Garden by the bay (cloud forest +Flower dome with Jurassic world) +MBS sky park (dated &amp; non-peak-till 4pm only-subject to availability) -Hotel Drop 5:00PM</t>
  </si>
  <si>
    <t>Pick up From Singapore Hotel 2:00 PM- Bird Paradise + Singapore Zoo - Hotel Drop 9:30PM</t>
  </si>
  <si>
    <t>Pick up From Singapore Hotel 12:00 AM - Half day City Tour 2.5 hrs with Merlion park, Flyer &amp; Chinese Temple stop for Pics.
Chinatown, Padang Area drive through only. + Night Safari (with complimentary Tram Ride And Animal show)- Hotel Drop 6:30PM</t>
  </si>
  <si>
    <t>Pick up From Singapore Hotel 9:00 AM - Sentosa Island ( 1Way Cable Car + SEA Aquarium + Luge &amp; Sky Ride + Univarsal Studios +Wings of Time) - Hotel Drop 8:30PM</t>
  </si>
  <si>
    <t>Pick up From Singapore Hotel 9:00AM - Univarsal Studios + Santosa Island (1 Way Cable Car + Luge &amp; Sky Ride + Wings Of Time) - Hotel Drop 8:30PM</t>
  </si>
  <si>
    <t>Pick up From Singapore Hotel 1:00 PM- Garden by the bay (cloud forest +Flower dome with Jurassic world) + Night Safari - Hotel Drop 8:00PM</t>
  </si>
  <si>
    <t>Pick up From Singapore Hotel  9:00 AM - Half day City Tour2.5 hrs with Merlion park, Flyer &amp; Chinese Temple stop for Pics.
Chinatown, Padang Area drive through only.+ Bird Paradise - Hotel Drop 4:00PM</t>
  </si>
  <si>
    <t>Pick up From Singapore Hotel 12:00 AM - MBS sky park (dated &amp; non-peak-till 4pm only-subject to availability) + Night Safari (with complimentary Tram Ride And Animal show) - Hotel Drop 8:00PM</t>
  </si>
  <si>
    <t>Pick up From  Singapore Hotel 9:00AM - Half Day City Tour 2.5 hrs withMerlion park, Flyer &amp; Chinese Temple stop for Pics.
Chinatown, Padang Area drive through only. + Gardens ByThe Bay (2 Domes ) +MBS sky park (dated &amp; non-peak-till 4pm only-subject to availability) - Hotel Drop 5:00PM</t>
  </si>
  <si>
    <t>Pick up From Singapore Hotel 9:00 AM - Gardens by the Bay  (cloud forest +Flower dome with Jurassic world) + Bird Paradise + 
Night Safari (with complimentary Tram Ride And Animal show) - Hotel Drop 8:00PM</t>
  </si>
  <si>
    <t>Pick up From Singapore Hotel 12:00 AM- Bird Paradise + Night Safari (with complimentary Tram Ride And Animal show) - Hotel Drop 8:00PM</t>
  </si>
  <si>
    <t>Pick up From Singapore Hotel 9:00 AM- Univarsal Studios + SEA Aqurium + Hotel Drop 7:00PM</t>
  </si>
  <si>
    <t>Pick up From Singapore Hotel 9:00 AM - Singapore City Tour With Merlion park, Flyer &amp; Chinese Temple stop for Pics.
Chinatown, Padang Area drive through only. + Sentosa Tour ( 1 Way Cable car + SEA Aqurium + Wings Of Time) - Hotel Drop 8:30PM</t>
  </si>
  <si>
    <t>Pick up From Singapore Hotel 9:00 AM- Singapore Zoo + River Wonders - Hotel Drop 4:00PM</t>
  </si>
  <si>
    <t>Pick up From Singapore Hotel 9:00 AM - MBS sky park (dated &amp; non-peak-till 4pm only-subject to availability) + Singapore Flyer - Hotel Drop 3:00PM</t>
  </si>
  <si>
    <t>Pick up From  SingaporeHotel 9:00AM - Santosa Island (1 Way Cable Car + Luge &amp; Sky Ride + Wings Of Time)+ SEA Aquarium - Hotel Drop 8:30PM</t>
  </si>
  <si>
    <t>Pick up From  Singapore Hotel 9:00 AM - Sentosa Island ( 1Way Cable Car +Wings of Time) - Hotel Drop 8:30PM</t>
  </si>
  <si>
    <t>Pick up From Singapore Hotel 12:00 AM - Art &amp; Science Musiume - Hotel Drop 3:00PM</t>
  </si>
  <si>
    <t>Pick up From Singapore Hotel 5:00 PM- Singapore Zoo - Hotel Drop 8:00PM</t>
  </si>
  <si>
    <t xml:space="preserve">Pick up From Singapore Hotel - Fix Date &amp; Time Duck Tour - Hotel Drop </t>
  </si>
  <si>
    <t>Pick up From Singapore Hotel 3:00 PM - Sentosa Island Cable Car Ride - Hotel Drop 8:30PM</t>
  </si>
  <si>
    <t>Pick up From Singapore Hotel 9:00 AM - Gardens by the bay  (cloud forest +Flower dome with Jurassic world) +MBS sky park (dated &amp; non-peak-till 4pm only-subject to availability) -Hotel Drop 4:00PM</t>
  </si>
  <si>
    <t>Pick up From Singapore Hotel - Garden by the bay (cloud forest +Flower dome with Jurassic world) +MBS sky park (dated &amp; non-peak-till 4pm only-subject to availability)
 + Art and science museum + Hotel Drop</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</si>
</sst>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 &quot;₹&quot;\ * #,##0.00_ ;_ &quot;₹&quot;\ * \-#,##0.00_ ;_ &quot;₹&quot;\ * &quot;-&quot;??_ ;_ @_ "/>
    <numFmt numFmtId="164" formatCode="[$-14009]dddd\,\ d\ mmmm\,\ yyyy;@"/>
  </numFmts>
  <fonts count="53" x14ac:knownFonts="1">
    <font>
      <sz val="10"/>
      <color rgb="FF000000"/>
      <name val="Times New Roman"/>
      <charset val="204"/>
    </font>
    <font>
      <b/>
      <u/>
      <sz val="16"/>
      <name val="Times New Roman"/>
      <family val="1"/>
    </font>
    <font>
      <sz val="10"/>
      <color rgb="FF000000"/>
      <name val="Times New Roman"/>
      <family val="1"/>
    </font>
    <font>
      <b/>
      <sz val="12"/>
      <name val="Times New Roman"/>
      <family val="1"/>
    </font>
    <font>
      <sz val="9"/>
      <name val="Times New Roman"/>
      <family val="1"/>
    </font>
    <font>
      <b/>
      <sz val="14"/>
      <color rgb="FF000000"/>
      <name val="Times New Roman"/>
      <family val="1"/>
    </font>
    <font>
      <b/>
      <u/>
      <sz val="12"/>
      <name val="Times New Roman"/>
      <family val="1"/>
    </font>
    <font>
      <b/>
      <u/>
      <sz val="12"/>
      <color rgb="FF000000"/>
      <name val="Times New Roman"/>
      <family val="1"/>
    </font>
    <font>
      <b/>
      <sz val="10"/>
      <color rgb="FF000000"/>
      <name val="Times New Roman"/>
      <family val="1"/>
    </font>
    <font>
      <sz val="11"/>
      <color rgb="FF000000"/>
      <name val="Times New Roman"/>
      <family val="1"/>
    </font>
    <font>
      <sz val="18"/>
      <color rgb="FF000000"/>
      <name val="Times New Roman"/>
      <family val="1"/>
    </font>
    <font>
      <sz val="11"/>
      <name val="Times New Roman"/>
      <family val="1"/>
    </font>
    <font>
      <b/>
      <sz val="11"/>
      <color rgb="FFFFFFFF"/>
      <name val="Times New Roman"/>
      <family val="1"/>
    </font>
    <font>
      <sz val="11"/>
      <color rgb="FFFFFFFF"/>
      <name val="Arial"/>
      <family val="2"/>
    </font>
    <font>
      <sz val="11"/>
      <color theme="0"/>
      <name val="Arial"/>
      <family val="2"/>
    </font>
    <font>
      <sz val="11"/>
      <color rgb="FFFFFFFF"/>
      <name val="Times New Roman"/>
      <family val="1"/>
    </font>
    <font>
      <b/>
      <sz val="11"/>
      <color theme="1"/>
      <name val="Times New Roman"/>
      <family val="1"/>
    </font>
    <font>
      <b/>
      <sz val="11"/>
      <color rgb="FF000000"/>
      <name val="Times New Roman"/>
      <family val="1"/>
    </font>
    <font>
      <sz val="16"/>
      <color theme="3"/>
      <name val="Times New Roman"/>
      <family val="1"/>
    </font>
    <font>
      <b/>
      <sz val="11"/>
      <color rgb="FF0070C0"/>
      <name val="Times New Roman"/>
      <family val="1"/>
    </font>
    <font>
      <b/>
      <sz val="14"/>
      <color rgb="FFFF0000"/>
      <name val="Times New Roman"/>
      <family val="1"/>
    </font>
    <font>
      <b/>
      <sz val="11"/>
      <color rgb="FF000000"/>
      <name val="Times New Roman"/>
      <family val="1"/>
    </font>
    <font>
      <sz val="11"/>
      <color rgb="FF000000"/>
      <name val="Times New Roman"/>
      <family val="1"/>
    </font>
    <font>
      <b/>
      <sz val="16"/>
      <color rgb="FFFF0000"/>
      <name val="Times New Roman"/>
      <family val="1"/>
    </font>
    <font>
      <u/>
      <sz val="10"/>
      <color theme="10"/>
      <name val="Times New Roman"/>
      <family val="1"/>
    </font>
    <font>
      <b/>
      <sz val="11"/>
      <color theme="1"/>
      <name val="Times New Roman"/>
      <family val="1"/>
    </font>
    <font>
      <b/>
      <sz val="11"/>
      <color rgb="FF0070C0"/>
      <name val="Times New Roman"/>
      <family val="1"/>
    </font>
    <font>
      <b/>
      <u/>
      <sz val="11"/>
      <color rgb="FF0070C0"/>
      <name val="Times New Roman"/>
      <family val="1"/>
    </font>
    <font>
      <sz val="11"/>
      <color theme="1"/>
      <name val="Times New Roman"/>
      <family val="1"/>
    </font>
    <font>
      <sz val="11"/>
      <color theme="0"/>
      <name val="Arial"/>
      <family val="2"/>
    </font>
    <font>
      <sz val="11"/>
      <name val="Times New Roman"/>
      <family val="1"/>
    </font>
    <font>
      <sz val="18"/>
      <color rgb="FF000000"/>
      <name val="Times New Roman"/>
      <family val="1"/>
    </font>
    <font>
      <b/>
      <sz val="10"/>
      <color rgb="FF000000"/>
      <name val="Times New Roman"/>
      <family val="1"/>
    </font>
    <font>
      <sz val="10"/>
      <color rgb="FF000000"/>
      <name val="Times New Roman"/>
      <family val="1"/>
    </font>
    <font>
      <sz val="11"/>
      <color rgb="FFDDDDDD"/>
      <name val="Times New Roman"/>
      <family val="1"/>
    </font>
    <font>
      <sz val="10"/>
      <color theme="1"/>
      <name val="Times New Roman"/>
      <family val="1"/>
    </font>
    <font>
      <sz val="12"/>
      <color theme="1"/>
      <name val="Times New Roman"/>
      <family val="1"/>
    </font>
    <font>
      <sz val="10"/>
      <color rgb="FF000000"/>
      <name val="Symbol"/>
      <family val="1"/>
      <charset val="2"/>
    </font>
    <font>
      <sz val="10"/>
      <color rgb="FF000000"/>
      <name val="Calibri"/>
      <family val="2"/>
    </font>
    <font>
      <sz val="10"/>
      <color rgb="FF2E74B5"/>
      <name val="Calibri"/>
      <family val="2"/>
    </font>
    <font>
      <b/>
      <sz val="10"/>
      <color rgb="FF000000"/>
      <name val="Calibri"/>
      <family val="2"/>
    </font>
    <font>
      <sz val="10"/>
      <color theme="1"/>
      <name val="Calibri"/>
      <family val="2"/>
    </font>
    <font>
      <b/>
      <sz val="10"/>
      <color theme="1"/>
      <name val="Calibri"/>
      <family val="2"/>
    </font>
    <font>
      <b/>
      <sz val="10"/>
      <color theme="1"/>
      <name val="Times New Roman"/>
      <family val="1"/>
    </font>
    <font>
      <b/>
      <u/>
      <sz val="11"/>
      <color rgb="FFFF0000"/>
      <name val="Times New Roman"/>
      <family val="1"/>
    </font>
    <font>
      <b/>
      <u/>
      <sz val="16"/>
      <color rgb="FFFF0000"/>
      <name val="Times New Roman"/>
      <family val="1"/>
    </font>
    <font>
      <b/>
      <sz val="14"/>
      <color rgb="FFFF0000"/>
      <name val="Calibri"/>
      <family val="2"/>
      <scheme val="minor"/>
    </font>
    <font>
      <sz val="11"/>
      <color rgb="FF000000"/>
      <name val="Arial"/>
      <family val="2"/>
    </font>
    <font>
      <b/>
      <u/>
      <sz val="11"/>
      <color rgb="FF000000"/>
      <name val="Arial"/>
      <family val="2"/>
    </font>
    <font>
      <b/>
      <sz val="10"/>
      <color rgb="FF000000"/>
      <name val="Segoe UI"/>
      <family val="2"/>
    </font>
    <font>
      <b/>
      <sz val="11"/>
      <color rgb="FF000000"/>
      <name val="Arial"/>
      <family val="2"/>
    </font>
    <font>
      <b/>
      <vertAlign val="superscript"/>
      <sz val="11"/>
      <color rgb="FF000000"/>
      <name val="Arial"/>
      <family val="2"/>
    </font>
    <font>
      <b/>
      <sz val="22"/>
      <color rgb="FF000000"/>
      <name val="Times New Roman"/>
      <family val="1"/>
    </font>
  </fonts>
  <fills count="10">
    <fill>
      <patternFill patternType="none"/>
    </fill>
    <fill>
      <patternFill patternType="gray125"/>
    </fill>
    <fill>
      <patternFill patternType="solid">
        <fgColor rgb="FF6AA84F"/>
        <bgColor indexed="64"/>
      </patternFill>
    </fill>
    <fill>
      <patternFill patternType="solid">
        <fgColor rgb="FFE6F1E3"/>
        <bgColor indexed="64"/>
      </patternFill>
    </fill>
    <fill>
      <patternFill patternType="solid">
        <fgColor theme="0"/>
        <bgColor indexed="64"/>
      </patternFill>
    </fill>
    <fill>
      <patternFill patternType="solid">
        <fgColor rgb="FF37761C"/>
        <bgColor indexed="64"/>
      </patternFill>
    </fill>
    <fill>
      <patternFill patternType="solid">
        <fgColor rgb="FFFFFF00"/>
        <bgColor indexed="64"/>
      </patternFill>
    </fill>
    <fill>
      <patternFill patternType="solid">
        <fgColor rgb="FFB6D7A8"/>
        <bgColor indexed="64"/>
      </patternFill>
    </fill>
    <fill>
      <patternFill patternType="solid">
        <fgColor rgb="FFDDDDDD"/>
        <bgColor indexed="64"/>
      </patternFill>
    </fill>
    <fill>
      <patternFill patternType="solid">
        <fgColor theme="6" tint="0.59999389629810485"/>
        <bgColor indexed="64"/>
      </patternFill>
    </fill>
  </fills>
  <borders count="4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medium">
        <color auto="1"/>
      </left>
      <right style="thin">
        <color auto="1"/>
      </right>
      <top style="medium">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thin">
        <color indexed="64"/>
      </top>
      <bottom style="medium">
        <color indexed="64"/>
      </bottom>
      <diagonal/>
    </border>
    <border>
      <left/>
      <right/>
      <top style="thin">
        <color indexed="64"/>
      </top>
      <bottom style="medium">
        <color indexed="64"/>
      </bottom>
      <diagonal/>
    </border>
    <border>
      <left/>
      <right style="medium">
        <color auto="1"/>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2" fillId="0" borderId="0" applyFont="0" applyFill="0" applyBorder="0" applyAlignment="0" applyProtection="0"/>
    <xf numFmtId="0" fontId="24" fillId="0" borderId="0" applyNumberFormat="0" applyFill="0" applyBorder="0" applyAlignment="0" applyProtection="0"/>
  </cellStyleXfs>
  <cellXfs count="276">
    <xf numFmtId="0" fontId="0" fillId="0" borderId="0" xfId="0" applyAlignment="1">
      <alignment horizontal="left" vertical="top"/>
    </xf>
    <xf numFmtId="0" fontId="0" fillId="0" borderId="0" xfId="0" applyAlignment="1">
      <alignment vertical="top"/>
    </xf>
    <xf numFmtId="0" fontId="0" fillId="0" borderId="0" xfId="0"/>
    <xf numFmtId="0" fontId="2" fillId="0" borderId="4" xfId="0" applyFont="1" applyBorder="1" applyAlignment="1">
      <alignment horizontal="left" vertical="top"/>
    </xf>
    <xf numFmtId="0" fontId="2" fillId="0" borderId="0" xfId="0" applyFont="1" applyAlignment="1">
      <alignment horizontal="left" vertical="top"/>
    </xf>
    <xf numFmtId="0" fontId="2" fillId="0" borderId="5" xfId="0" applyFont="1" applyBorder="1" applyAlignment="1">
      <alignment horizontal="left" vertical="top"/>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2" fillId="0" borderId="4" xfId="0" applyFont="1" applyBorder="1" applyAlignment="1">
      <alignment vertical="top"/>
    </xf>
    <xf numFmtId="0" fontId="2" fillId="0" borderId="0" xfId="0" applyFont="1" applyAlignment="1">
      <alignment vertical="top"/>
    </xf>
    <xf numFmtId="0" fontId="2" fillId="0" borderId="5" xfId="0" applyFont="1" applyBorder="1" applyAlignment="1">
      <alignment vertical="top"/>
    </xf>
    <xf numFmtId="0" fontId="2" fillId="0" borderId="0" xfId="0" applyFont="1"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xf>
    <xf numFmtId="0" fontId="9" fillId="4" borderId="0" xfId="0" applyFont="1" applyFill="1" applyAlignment="1">
      <alignment horizontal="left" vertical="top"/>
    </xf>
    <xf numFmtId="0" fontId="11" fillId="4" borderId="0" xfId="0" applyFont="1" applyFill="1" applyAlignment="1">
      <alignment horizontal="center" vertical="center" wrapText="1"/>
    </xf>
    <xf numFmtId="0" fontId="9" fillId="4" borderId="0" xfId="0" applyFont="1" applyFill="1" applyAlignment="1">
      <alignment horizontal="center" vertical="center"/>
    </xf>
    <xf numFmtId="0" fontId="9" fillId="4" borderId="0" xfId="0" applyFont="1" applyFill="1" applyAlignment="1">
      <alignment vertical="center" wrapText="1"/>
    </xf>
    <xf numFmtId="0" fontId="12" fillId="0" borderId="0" xfId="0" applyFont="1" applyAlignment="1">
      <alignment horizontal="left" vertical="top"/>
    </xf>
    <xf numFmtId="0" fontId="13" fillId="5" borderId="12" xfId="0" applyFont="1" applyFill="1" applyBorder="1" applyAlignment="1">
      <alignment horizontal="center" vertical="center" wrapText="1"/>
    </xf>
    <xf numFmtId="1" fontId="11" fillId="3" borderId="18" xfId="0" applyNumberFormat="1" applyFont="1" applyFill="1" applyBorder="1" applyAlignment="1">
      <alignment horizontal="left" vertical="center" wrapText="1"/>
    </xf>
    <xf numFmtId="2" fontId="9" fillId="4" borderId="0" xfId="0" applyNumberFormat="1" applyFont="1" applyFill="1" applyAlignment="1">
      <alignment horizontal="left" vertical="top"/>
    </xf>
    <xf numFmtId="0" fontId="15" fillId="5" borderId="21" xfId="0" applyFont="1" applyFill="1" applyBorder="1" applyAlignment="1">
      <alignment horizontal="center" vertical="center" wrapText="1"/>
    </xf>
    <xf numFmtId="0" fontId="15" fillId="5" borderId="22" xfId="0" applyFont="1" applyFill="1" applyBorder="1" applyAlignment="1">
      <alignment horizontal="center" vertical="center" wrapText="1"/>
    </xf>
    <xf numFmtId="0" fontId="15" fillId="5" borderId="23" xfId="0" applyFont="1" applyFill="1" applyBorder="1" applyAlignment="1">
      <alignment horizontal="center" vertical="center" wrapText="1"/>
    </xf>
    <xf numFmtId="18" fontId="16" fillId="3" borderId="24" xfId="0" applyNumberFormat="1" applyFont="1" applyFill="1" applyBorder="1" applyAlignment="1">
      <alignment horizontal="center" vertical="center" wrapText="1"/>
    </xf>
    <xf numFmtId="0" fontId="16" fillId="3" borderId="23" xfId="0" applyFont="1" applyFill="1" applyBorder="1" applyAlignment="1">
      <alignment vertical="center" wrapText="1"/>
    </xf>
    <xf numFmtId="0" fontId="9" fillId="4" borderId="0" xfId="1" applyNumberFormat="1" applyFont="1" applyFill="1" applyBorder="1" applyAlignment="1">
      <alignment horizontal="left" vertical="top"/>
    </xf>
    <xf numFmtId="0" fontId="17" fillId="4" borderId="0" xfId="0" applyFont="1" applyFill="1" applyAlignment="1">
      <alignment horizontal="left" vertical="top"/>
    </xf>
    <xf numFmtId="2" fontId="9" fillId="4" borderId="0" xfId="1" applyNumberFormat="1" applyFont="1" applyFill="1" applyBorder="1" applyAlignment="1">
      <alignment horizontal="center" vertical="top"/>
    </xf>
    <xf numFmtId="0" fontId="9" fillId="4" borderId="4" xfId="0" applyFont="1" applyFill="1" applyBorder="1" applyAlignment="1">
      <alignment horizontal="left" vertical="top"/>
    </xf>
    <xf numFmtId="0" fontId="9" fillId="4" borderId="5" xfId="0" applyFont="1" applyFill="1" applyBorder="1" applyAlignment="1">
      <alignment horizontal="left" vertical="top"/>
    </xf>
    <xf numFmtId="0" fontId="9" fillId="0" borderId="0" xfId="0" applyFont="1" applyAlignment="1">
      <alignment vertical="center" wrapText="1"/>
    </xf>
    <xf numFmtId="0" fontId="9" fillId="0" borderId="0" xfId="0" applyFont="1" applyAlignment="1">
      <alignment vertical="center"/>
    </xf>
    <xf numFmtId="1" fontId="9" fillId="4" borderId="0" xfId="0" applyNumberFormat="1" applyFont="1" applyFill="1" applyAlignment="1">
      <alignment horizontal="left" vertical="top"/>
    </xf>
    <xf numFmtId="0" fontId="9" fillId="4" borderId="0" xfId="0" applyNumberFormat="1" applyFont="1" applyFill="1" applyAlignment="1">
      <alignment horizontal="left" vertical="top"/>
    </xf>
    <xf numFmtId="0" fontId="9" fillId="4" borderId="0" xfId="0" applyFont="1" applyFill="1" applyAlignment="1">
      <alignment horizontal="left" vertical="top" wrapText="1"/>
    </xf>
    <xf numFmtId="2" fontId="17" fillId="4" borderId="26" xfId="0" applyNumberFormat="1" applyFont="1" applyFill="1" applyBorder="1" applyAlignment="1">
      <alignment horizontal="left" vertical="top"/>
    </xf>
    <xf numFmtId="0" fontId="17" fillId="4" borderId="26" xfId="0" applyFont="1" applyFill="1" applyBorder="1" applyAlignment="1">
      <alignment horizontal="left" vertical="top"/>
    </xf>
    <xf numFmtId="2" fontId="20" fillId="4" borderId="27" xfId="0" applyNumberFormat="1" applyFont="1" applyFill="1" applyBorder="1" applyAlignment="1">
      <alignment horizontal="left" vertical="top"/>
    </xf>
    <xf numFmtId="0" fontId="21" fillId="4" borderId="26" xfId="0" applyFont="1" applyFill="1" applyBorder="1" applyAlignment="1">
      <alignment horizontal="left" vertical="top" wrapText="1"/>
    </xf>
    <xf numFmtId="0" fontId="22" fillId="4" borderId="0" xfId="0" applyFont="1" applyFill="1" applyAlignment="1">
      <alignment horizontal="left" vertical="top"/>
    </xf>
    <xf numFmtId="2" fontId="23" fillId="4" borderId="27" xfId="0" applyNumberFormat="1" applyFont="1" applyFill="1" applyBorder="1" applyAlignment="1">
      <alignment horizontal="left" vertical="top"/>
    </xf>
    <xf numFmtId="16" fontId="30" fillId="3" borderId="13" xfId="0" applyNumberFormat="1" applyFont="1" applyFill="1" applyBorder="1" applyAlignment="1">
      <alignment horizontal="center" vertical="center" wrapText="1"/>
    </xf>
    <xf numFmtId="0" fontId="25" fillId="3" borderId="23" xfId="0" applyFont="1" applyFill="1" applyBorder="1" applyAlignment="1">
      <alignment horizontal="center" vertical="center" wrapText="1"/>
    </xf>
    <xf numFmtId="18" fontId="25" fillId="3" borderId="24" xfId="0" applyNumberFormat="1" applyFont="1" applyFill="1" applyBorder="1" applyAlignment="1">
      <alignment horizontal="center" vertical="center" wrapText="1"/>
    </xf>
    <xf numFmtId="0" fontId="21" fillId="4" borderId="0" xfId="0" applyFont="1" applyFill="1" applyAlignment="1">
      <alignment horizontal="left" vertical="top"/>
    </xf>
    <xf numFmtId="18" fontId="25" fillId="3" borderId="28" xfId="0" applyNumberFormat="1" applyFont="1" applyFill="1" applyBorder="1" applyAlignment="1">
      <alignment horizontal="center" vertical="center" wrapText="1"/>
    </xf>
    <xf numFmtId="164" fontId="25" fillId="3" borderId="29" xfId="0" applyNumberFormat="1" applyFont="1" applyFill="1" applyBorder="1" applyAlignment="1">
      <alignment horizontal="center" vertical="center" shrinkToFit="1"/>
    </xf>
    <xf numFmtId="0" fontId="30" fillId="3" borderId="17"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30" fillId="3" borderId="12" xfId="0" applyFont="1" applyFill="1" applyBorder="1" applyAlignment="1">
      <alignment horizontal="center" vertical="center" wrapText="1"/>
    </xf>
    <xf numFmtId="0" fontId="32"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left" vertical="top"/>
    </xf>
    <xf numFmtId="0" fontId="32" fillId="0" borderId="0" xfId="0" applyFont="1" applyAlignment="1">
      <alignment horizontal="left" vertical="top"/>
    </xf>
    <xf numFmtId="0" fontId="34" fillId="8" borderId="0" xfId="0" applyFont="1" applyFill="1" applyAlignment="1">
      <alignment horizontal="left" vertical="top"/>
    </xf>
    <xf numFmtId="0" fontId="9" fillId="0" borderId="4" xfId="0" applyFont="1" applyBorder="1" applyAlignment="1">
      <alignment vertical="center"/>
    </xf>
    <xf numFmtId="0" fontId="9" fillId="0" borderId="0" xfId="0" applyFont="1" applyBorder="1" applyAlignment="1">
      <alignment vertical="center"/>
    </xf>
    <xf numFmtId="0" fontId="11" fillId="3" borderId="18" xfId="0" applyFont="1" applyFill="1" applyBorder="1" applyAlignment="1">
      <alignment vertical="center" wrapText="1"/>
    </xf>
    <xf numFmtId="0" fontId="0" fillId="0" borderId="0" xfId="0" applyAlignment="1">
      <alignment horizontal="center" vertical="top"/>
    </xf>
    <xf numFmtId="0" fontId="33" fillId="0" borderId="0" xfId="0" quotePrefix="1" applyFont="1" applyAlignment="1">
      <alignment horizontal="left" vertical="top"/>
    </xf>
    <xf numFmtId="0" fontId="0" fillId="0" borderId="0" xfId="0" applyAlignment="1">
      <alignment horizontal="left" vertical="top" wrapText="1"/>
    </xf>
    <xf numFmtId="0" fontId="35" fillId="0" borderId="0" xfId="0" applyFont="1" applyAlignment="1">
      <alignment horizontal="left" vertical="top" wrapText="1"/>
    </xf>
    <xf numFmtId="0" fontId="35" fillId="0" borderId="0" xfId="0" applyFont="1" applyAlignment="1">
      <alignment horizontal="left"/>
    </xf>
    <xf numFmtId="0" fontId="33" fillId="0" borderId="0" xfId="0" applyFont="1" applyAlignment="1">
      <alignment horizontal="left" vertical="top" wrapText="1"/>
    </xf>
    <xf numFmtId="0" fontId="37" fillId="0" borderId="0" xfId="0" applyFont="1" applyAlignment="1">
      <alignment horizontal="left" vertical="top" wrapText="1"/>
    </xf>
    <xf numFmtId="0" fontId="39" fillId="0" borderId="0" xfId="0" applyFont="1" applyAlignment="1">
      <alignment vertical="top" wrapText="1"/>
    </xf>
    <xf numFmtId="0" fontId="39" fillId="0" borderId="0" xfId="0" applyFont="1" applyAlignment="1">
      <alignment horizontal="left" vertical="top" wrapText="1"/>
    </xf>
    <xf numFmtId="0" fontId="41" fillId="0" borderId="0" xfId="0" applyFont="1" applyAlignment="1">
      <alignment horizontal="left" vertical="top" wrapText="1"/>
    </xf>
    <xf numFmtId="0" fontId="11" fillId="3" borderId="13" xfId="0" applyFont="1" applyFill="1" applyBorder="1" applyAlignment="1">
      <alignment vertical="center" wrapText="1"/>
    </xf>
    <xf numFmtId="16" fontId="11" fillId="3" borderId="13" xfId="0" applyNumberFormat="1" applyFont="1" applyFill="1" applyBorder="1" applyAlignment="1">
      <alignment horizontal="center"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32" fillId="0" borderId="0" xfId="0" applyFont="1" applyAlignment="1">
      <alignment horizontal="center" vertical="top"/>
    </xf>
    <xf numFmtId="0" fontId="2" fillId="0" borderId="0" xfId="0" applyFont="1" applyAlignment="1">
      <alignment vertical="center" wrapText="1"/>
    </xf>
    <xf numFmtId="0" fontId="16" fillId="3" borderId="23" xfId="0" applyFont="1" applyFill="1" applyBorder="1" applyAlignment="1">
      <alignment horizontal="center" vertical="center" wrapText="1"/>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26" fillId="0" borderId="0" xfId="0" applyFont="1" applyBorder="1" applyAlignment="1">
      <alignment horizontal="center" vertical="center"/>
    </xf>
    <xf numFmtId="0" fontId="28" fillId="0" borderId="0" xfId="0" applyFont="1" applyBorder="1" applyAlignment="1">
      <alignment vertical="center"/>
    </xf>
    <xf numFmtId="0" fontId="28" fillId="0" borderId="4" xfId="0" applyFont="1" applyBorder="1" applyAlignment="1">
      <alignment vertical="center"/>
    </xf>
    <xf numFmtId="0" fontId="26" fillId="0" borderId="4" xfId="0" applyFont="1" applyBorder="1" applyAlignment="1">
      <alignment vertical="top"/>
    </xf>
    <xf numFmtId="0" fontId="26" fillId="0" borderId="0" xfId="0" applyFont="1" applyBorder="1" applyAlignment="1">
      <alignment vertical="top"/>
    </xf>
    <xf numFmtId="0" fontId="22" fillId="0" borderId="4" xfId="0" applyFont="1" applyBorder="1" applyAlignment="1">
      <alignment vertical="center"/>
    </xf>
    <xf numFmtId="0" fontId="22" fillId="0" borderId="0" xfId="0" applyFont="1" applyBorder="1" applyAlignment="1">
      <alignment vertical="top"/>
    </xf>
    <xf numFmtId="0" fontId="22" fillId="0" borderId="4" xfId="0" applyFont="1" applyBorder="1" applyAlignment="1">
      <alignment vertical="top"/>
    </xf>
    <xf numFmtId="0" fontId="22" fillId="0" borderId="0" xfId="0" applyFont="1" applyBorder="1" applyAlignment="1">
      <alignment vertical="center"/>
    </xf>
    <xf numFmtId="0" fontId="26" fillId="0" borderId="4" xfId="0" applyFont="1" applyBorder="1" applyAlignment="1">
      <alignment vertical="center"/>
    </xf>
    <xf numFmtId="0" fontId="26" fillId="0" borderId="0" xfId="0" applyFont="1" applyBorder="1" applyAlignment="1">
      <alignment vertical="center"/>
    </xf>
    <xf numFmtId="2" fontId="23" fillId="4" borderId="0" xfId="0" applyNumberFormat="1" applyFont="1" applyFill="1" applyBorder="1" applyAlignment="1">
      <alignment horizontal="left" vertical="top"/>
    </xf>
    <xf numFmtId="2" fontId="20" fillId="4" borderId="0" xfId="0" applyNumberFormat="1" applyFont="1" applyFill="1" applyBorder="1" applyAlignment="1">
      <alignment horizontal="left" vertical="top"/>
    </xf>
    <xf numFmtId="0" fontId="2" fillId="0" borderId="0" xfId="0" applyFont="1" applyAlignment="1">
      <alignment horizontal="center" vertical="top"/>
    </xf>
    <xf numFmtId="0" fontId="2" fillId="0" borderId="0" xfId="0" applyFont="1" applyAlignment="1">
      <alignment horizontal="left" vertical="top"/>
    </xf>
    <xf numFmtId="0" fontId="9" fillId="4" borderId="0" xfId="0" applyFont="1" applyFill="1" applyAlignment="1">
      <alignment horizontal="left" vertical="top"/>
    </xf>
    <xf numFmtId="0" fontId="9" fillId="4" borderId="0" xfId="0" applyFont="1" applyFill="1" applyAlignment="1">
      <alignment vertical="top"/>
    </xf>
    <xf numFmtId="0" fontId="9" fillId="4" borderId="4" xfId="0" applyFont="1" applyFill="1" applyBorder="1" applyAlignment="1">
      <alignment horizontal="center" vertical="center"/>
    </xf>
    <xf numFmtId="0" fontId="9" fillId="4" borderId="39" xfId="0" applyFont="1" applyFill="1" applyBorder="1" applyAlignment="1">
      <alignment vertical="top"/>
    </xf>
    <xf numFmtId="0" fontId="9" fillId="4" borderId="40" xfId="0" applyFont="1" applyFill="1" applyBorder="1" applyAlignment="1">
      <alignment vertical="top"/>
    </xf>
    <xf numFmtId="0" fontId="9" fillId="4" borderId="41" xfId="0" applyFont="1" applyFill="1" applyBorder="1" applyAlignment="1">
      <alignment vertical="top"/>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quotePrefix="1"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50" fillId="0" borderId="4" xfId="0" applyFont="1" applyBorder="1" applyAlignment="1">
      <alignment horizontal="left" vertical="top" wrapText="1"/>
    </xf>
    <xf numFmtId="0" fontId="50" fillId="0" borderId="0" xfId="0" applyFont="1" applyBorder="1" applyAlignment="1">
      <alignment horizontal="left" vertical="top" wrapText="1"/>
    </xf>
    <xf numFmtId="0" fontId="50" fillId="0" borderId="5" xfId="0" applyFont="1" applyBorder="1" applyAlignment="1">
      <alignment horizontal="left" vertical="top" wrapText="1"/>
    </xf>
    <xf numFmtId="0" fontId="26" fillId="0" borderId="33" xfId="0" applyFont="1" applyBorder="1" applyAlignment="1">
      <alignment vertical="center"/>
    </xf>
    <xf numFmtId="0" fontId="26" fillId="0" borderId="34" xfId="0" applyFont="1" applyBorder="1" applyAlignment="1">
      <alignment vertical="center"/>
    </xf>
    <xf numFmtId="0" fontId="26" fillId="0" borderId="35" xfId="0" applyFont="1" applyBorder="1" applyAlignment="1">
      <alignment vertical="center"/>
    </xf>
    <xf numFmtId="0" fontId="26" fillId="0" borderId="0" xfId="0" applyFont="1" applyBorder="1" applyAlignment="1">
      <alignment vertical="center"/>
    </xf>
    <xf numFmtId="0" fontId="46" fillId="6" borderId="30" xfId="0" applyFont="1" applyFill="1" applyBorder="1" applyAlignment="1">
      <alignment horizontal="left" vertical="top"/>
    </xf>
    <xf numFmtId="0" fontId="46" fillId="6" borderId="31" xfId="0" applyFont="1" applyFill="1" applyBorder="1" applyAlignment="1">
      <alignment horizontal="left" vertical="top"/>
    </xf>
    <xf numFmtId="0" fontId="46" fillId="6" borderId="32" xfId="0" applyFont="1" applyFill="1" applyBorder="1" applyAlignment="1">
      <alignment horizontal="left" vertical="top"/>
    </xf>
    <xf numFmtId="0" fontId="47" fillId="0" borderId="4" xfId="0" applyFont="1" applyBorder="1" applyAlignment="1">
      <alignment horizontal="left" vertical="top" wrapText="1"/>
    </xf>
    <xf numFmtId="0" fontId="47" fillId="0" borderId="0" xfId="0" applyFont="1" applyBorder="1" applyAlignment="1">
      <alignment horizontal="left" vertical="top" wrapText="1"/>
    </xf>
    <xf numFmtId="0" fontId="47" fillId="0" borderId="5" xfId="0" applyFont="1" applyBorder="1" applyAlignment="1">
      <alignment horizontal="left" vertical="top" wrapText="1"/>
    </xf>
    <xf numFmtId="0" fontId="48" fillId="6" borderId="4" xfId="0" applyFont="1" applyFill="1" applyBorder="1" applyAlignment="1">
      <alignment horizontal="left" vertical="top" wrapText="1"/>
    </xf>
    <xf numFmtId="0" fontId="48" fillId="6" borderId="0" xfId="0" applyFont="1" applyFill="1" applyBorder="1" applyAlignment="1">
      <alignment horizontal="left" vertical="top" wrapText="1"/>
    </xf>
    <xf numFmtId="0" fontId="48" fillId="6" borderId="5" xfId="0" applyFont="1" applyFill="1" applyBorder="1" applyAlignment="1">
      <alignment horizontal="left" vertical="top" wrapText="1"/>
    </xf>
    <xf numFmtId="0" fontId="49" fillId="0" borderId="4" xfId="0" applyFont="1" applyBorder="1" applyAlignment="1">
      <alignment horizontal="left" vertical="top"/>
    </xf>
    <xf numFmtId="0" fontId="49" fillId="0" borderId="0" xfId="0" applyFont="1" applyBorder="1" applyAlignment="1">
      <alignment horizontal="left" vertical="top"/>
    </xf>
    <xf numFmtId="0" fontId="49" fillId="0" borderId="5" xfId="0" applyFont="1" applyBorder="1" applyAlignment="1">
      <alignment horizontal="left" vertical="top"/>
    </xf>
    <xf numFmtId="0" fontId="20" fillId="6" borderId="30" xfId="0" applyFont="1" applyFill="1" applyBorder="1" applyAlignment="1">
      <alignment horizontal="left" vertical="top"/>
    </xf>
    <xf numFmtId="0" fontId="20" fillId="6" borderId="31" xfId="0" applyFont="1" applyFill="1" applyBorder="1" applyAlignment="1">
      <alignment horizontal="left" vertical="top"/>
    </xf>
    <xf numFmtId="0" fontId="20" fillId="6" borderId="32" xfId="0" applyFont="1" applyFill="1" applyBorder="1" applyAlignment="1">
      <alignment horizontal="left" vertical="top"/>
    </xf>
    <xf numFmtId="0" fontId="19" fillId="9" borderId="30" xfId="0" applyFont="1" applyFill="1" applyBorder="1" applyAlignment="1">
      <alignment horizontal="left" vertical="center" wrapText="1"/>
    </xf>
    <xf numFmtId="0" fontId="26" fillId="9" borderId="31" xfId="0" applyFont="1" applyFill="1" applyBorder="1" applyAlignment="1">
      <alignment horizontal="left" vertical="center"/>
    </xf>
    <xf numFmtId="0" fontId="26" fillId="9" borderId="32" xfId="0" applyFont="1" applyFill="1" applyBorder="1" applyAlignment="1">
      <alignment horizontal="left" vertical="center"/>
    </xf>
    <xf numFmtId="0" fontId="26" fillId="0" borderId="4" xfId="0" applyFont="1" applyBorder="1" applyAlignment="1">
      <alignment horizontal="left" vertical="center"/>
    </xf>
    <xf numFmtId="0" fontId="26" fillId="0" borderId="0" xfId="0" applyFont="1" applyBorder="1" applyAlignment="1">
      <alignment horizontal="left" vertical="center"/>
    </xf>
    <xf numFmtId="0" fontId="26" fillId="0" borderId="5" xfId="0" applyFont="1" applyBorder="1" applyAlignment="1">
      <alignment horizontal="left" vertical="center"/>
    </xf>
    <xf numFmtId="0" fontId="28" fillId="0" borderId="4" xfId="0" applyFont="1" applyBorder="1" applyAlignment="1">
      <alignment horizontal="left" vertical="center" wrapText="1"/>
    </xf>
    <xf numFmtId="0" fontId="28" fillId="0" borderId="0" xfId="0" applyFont="1" applyBorder="1" applyAlignment="1">
      <alignment horizontal="left" vertical="center" wrapText="1"/>
    </xf>
    <xf numFmtId="0" fontId="28" fillId="0" borderId="5" xfId="0" applyFont="1" applyBorder="1" applyAlignment="1">
      <alignment horizontal="left" vertical="center" wrapText="1"/>
    </xf>
    <xf numFmtId="0" fontId="19" fillId="8" borderId="30" xfId="0" applyFont="1" applyFill="1" applyBorder="1" applyAlignment="1">
      <alignment horizontal="left" vertical="center" wrapText="1"/>
    </xf>
    <xf numFmtId="0" fontId="26" fillId="8" borderId="31" xfId="0" applyFont="1" applyFill="1" applyBorder="1" applyAlignment="1">
      <alignment horizontal="left" vertical="center"/>
    </xf>
    <xf numFmtId="0" fontId="26" fillId="8" borderId="32" xfId="0" applyFont="1" applyFill="1" applyBorder="1" applyAlignment="1">
      <alignment horizontal="left" vertical="center"/>
    </xf>
    <xf numFmtId="0" fontId="25" fillId="0" borderId="4" xfId="0" applyFont="1" applyBorder="1" applyAlignment="1">
      <alignment horizontal="left" vertical="center"/>
    </xf>
    <xf numFmtId="0" fontId="25" fillId="0" borderId="0" xfId="0" applyFont="1" applyBorder="1" applyAlignment="1">
      <alignment horizontal="left" vertical="center"/>
    </xf>
    <xf numFmtId="0" fontId="25" fillId="0" borderId="5" xfId="0" applyFont="1" applyBorder="1" applyAlignment="1">
      <alignment horizontal="left" vertical="center"/>
    </xf>
    <xf numFmtId="0" fontId="26" fillId="6" borderId="4" xfId="0" applyFont="1" applyFill="1" applyBorder="1" applyAlignment="1">
      <alignment horizontal="left" vertical="center"/>
    </xf>
    <xf numFmtId="0" fontId="26" fillId="6" borderId="0" xfId="0" applyFont="1" applyFill="1" applyBorder="1" applyAlignment="1">
      <alignment horizontal="left" vertical="center"/>
    </xf>
    <xf numFmtId="0" fontId="26" fillId="6" borderId="5" xfId="0" applyFont="1" applyFill="1" applyBorder="1" applyAlignment="1">
      <alignment horizontal="left" vertical="center"/>
    </xf>
    <xf numFmtId="0" fontId="28" fillId="0" borderId="4" xfId="0" applyFont="1" applyBorder="1" applyAlignment="1">
      <alignment horizontal="left" vertical="center"/>
    </xf>
    <xf numFmtId="0" fontId="28" fillId="0" borderId="0" xfId="0" applyFont="1" applyBorder="1" applyAlignment="1">
      <alignment horizontal="left" vertical="center"/>
    </xf>
    <xf numFmtId="0" fontId="28" fillId="0" borderId="5" xfId="0" applyFont="1" applyBorder="1" applyAlignment="1">
      <alignment horizontal="left" vertical="center"/>
    </xf>
    <xf numFmtId="0" fontId="9" fillId="0" borderId="4" xfId="0" applyFont="1" applyBorder="1" applyAlignment="1">
      <alignment horizontal="left" vertical="center"/>
    </xf>
    <xf numFmtId="0" fontId="9" fillId="0" borderId="0" xfId="0" applyFont="1" applyBorder="1" applyAlignment="1">
      <alignment horizontal="left" vertical="center"/>
    </xf>
    <xf numFmtId="0" fontId="9" fillId="0" borderId="5" xfId="0" applyFont="1" applyBorder="1" applyAlignment="1">
      <alignment horizontal="left" vertical="center"/>
    </xf>
    <xf numFmtId="0" fontId="19" fillId="0" borderId="4" xfId="0" applyFont="1" applyBorder="1" applyAlignment="1">
      <alignment horizontal="left" vertical="center"/>
    </xf>
    <xf numFmtId="0" fontId="19" fillId="0" borderId="0" xfId="0" applyFont="1" applyBorder="1" applyAlignment="1">
      <alignment horizontal="left" vertical="center"/>
    </xf>
    <xf numFmtId="0" fontId="19" fillId="0" borderId="5" xfId="0" applyFont="1" applyBorder="1" applyAlignment="1">
      <alignment horizontal="left" vertical="center"/>
    </xf>
    <xf numFmtId="0" fontId="22" fillId="0" borderId="4" xfId="0" applyFont="1" applyBorder="1" applyAlignment="1">
      <alignment horizontal="left" vertical="center"/>
    </xf>
    <xf numFmtId="0" fontId="22" fillId="0" borderId="0" xfId="0" applyFont="1" applyBorder="1" applyAlignment="1">
      <alignment horizontal="left" vertical="center"/>
    </xf>
    <xf numFmtId="0" fontId="22" fillId="0" borderId="5" xfId="0" applyFont="1" applyBorder="1" applyAlignment="1">
      <alignment horizontal="left" vertical="center"/>
    </xf>
    <xf numFmtId="0" fontId="19" fillId="6" borderId="4" xfId="0" applyFont="1" applyFill="1" applyBorder="1" applyAlignment="1">
      <alignment horizontal="left" vertical="center"/>
    </xf>
    <xf numFmtId="0" fontId="19" fillId="6" borderId="0" xfId="0" applyFont="1" applyFill="1" applyBorder="1" applyAlignment="1">
      <alignment horizontal="left" vertical="center"/>
    </xf>
    <xf numFmtId="0" fontId="19" fillId="6" borderId="5" xfId="0" applyFont="1" applyFill="1" applyBorder="1" applyAlignment="1">
      <alignment horizontal="left" vertical="center"/>
    </xf>
    <xf numFmtId="0" fontId="9" fillId="0" borderId="4" xfId="0" applyFont="1" applyBorder="1" applyAlignment="1">
      <alignment horizontal="left" vertical="center" wrapText="1"/>
    </xf>
    <xf numFmtId="0" fontId="9" fillId="0" borderId="0" xfId="0" applyFont="1" applyBorder="1" applyAlignment="1">
      <alignment horizontal="left" vertical="center" wrapText="1"/>
    </xf>
    <xf numFmtId="0" fontId="9" fillId="0" borderId="5" xfId="0" applyFont="1" applyBorder="1" applyAlignment="1">
      <alignment horizontal="left" vertical="center" wrapText="1"/>
    </xf>
    <xf numFmtId="0" fontId="27" fillId="6" borderId="4" xfId="0" applyFont="1" applyFill="1" applyBorder="1" applyAlignment="1">
      <alignment horizontal="left" vertical="center"/>
    </xf>
    <xf numFmtId="0" fontId="27" fillId="6" borderId="0" xfId="0" applyFont="1" applyFill="1" applyBorder="1" applyAlignment="1">
      <alignment horizontal="left" vertical="center"/>
    </xf>
    <xf numFmtId="0" fontId="27" fillId="6" borderId="5" xfId="0" applyFont="1" applyFill="1" applyBorder="1" applyAlignment="1">
      <alignment horizontal="left" vertical="center"/>
    </xf>
    <xf numFmtId="0" fontId="26" fillId="6" borderId="4" xfId="0" applyFont="1" applyFill="1" applyBorder="1" applyAlignment="1">
      <alignment horizontal="left" vertical="top"/>
    </xf>
    <xf numFmtId="0" fontId="26" fillId="6" borderId="0" xfId="0" applyFont="1" applyFill="1" applyBorder="1" applyAlignment="1">
      <alignment horizontal="left" vertical="top"/>
    </xf>
    <xf numFmtId="0" fontId="26" fillId="6" borderId="5" xfId="0" applyFont="1" applyFill="1" applyBorder="1" applyAlignment="1">
      <alignment horizontal="left" vertical="top"/>
    </xf>
    <xf numFmtId="0" fontId="22" fillId="0" borderId="4" xfId="0" applyFont="1" applyBorder="1" applyAlignment="1">
      <alignment horizontal="left" vertical="center" wrapText="1"/>
    </xf>
    <xf numFmtId="0" fontId="22" fillId="0" borderId="0" xfId="0" applyFont="1" applyBorder="1" applyAlignment="1">
      <alignment horizontal="left" vertical="center" wrapText="1"/>
    </xf>
    <xf numFmtId="0" fontId="22" fillId="0" borderId="5" xfId="0" applyFont="1" applyBorder="1" applyAlignment="1">
      <alignment horizontal="left" vertical="center" wrapText="1"/>
    </xf>
    <xf numFmtId="0" fontId="11" fillId="6" borderId="17" xfId="0" applyFont="1" applyFill="1" applyBorder="1" applyAlignment="1">
      <alignment horizontal="center" vertical="top" wrapText="1"/>
    </xf>
    <xf numFmtId="0" fontId="11" fillId="6" borderId="14" xfId="0" applyFont="1" applyFill="1" applyBorder="1" applyAlignment="1">
      <alignment horizontal="center" vertical="top" wrapText="1"/>
    </xf>
    <xf numFmtId="0" fontId="11" fillId="6" borderId="18" xfId="0" applyFont="1" applyFill="1" applyBorder="1" applyAlignment="1">
      <alignment horizontal="center" vertical="top" wrapText="1"/>
    </xf>
    <xf numFmtId="0" fontId="30" fillId="7" borderId="19" xfId="0" applyFont="1" applyFill="1" applyBorder="1" applyAlignment="1">
      <alignment horizontal="center" vertical="top" wrapText="1"/>
    </xf>
    <xf numFmtId="0" fontId="11" fillId="7" borderId="25" xfId="0" applyFont="1" applyFill="1" applyBorder="1" applyAlignment="1">
      <alignment horizontal="center" vertical="top" wrapText="1"/>
    </xf>
    <xf numFmtId="0" fontId="11" fillId="7" borderId="16" xfId="0" applyFont="1" applyFill="1" applyBorder="1" applyAlignment="1">
      <alignment horizontal="center" vertical="top" wrapText="1"/>
    </xf>
    <xf numFmtId="0" fontId="18" fillId="6" borderId="30" xfId="0" applyFont="1" applyFill="1" applyBorder="1" applyAlignment="1">
      <alignment horizontal="center" vertical="top"/>
    </xf>
    <xf numFmtId="0" fontId="18" fillId="6" borderId="31" xfId="0" applyFont="1" applyFill="1" applyBorder="1" applyAlignment="1">
      <alignment horizontal="center" vertical="top"/>
    </xf>
    <xf numFmtId="0" fontId="18" fillId="6" borderId="32" xfId="0" applyFont="1" applyFill="1" applyBorder="1" applyAlignment="1">
      <alignment horizontal="center" vertical="top"/>
    </xf>
    <xf numFmtId="0" fontId="19" fillId="6" borderId="1" xfId="0" applyFont="1" applyFill="1" applyBorder="1" applyAlignment="1">
      <alignment horizontal="left" vertical="center"/>
    </xf>
    <xf numFmtId="0" fontId="19" fillId="6" borderId="2" xfId="0" applyFont="1" applyFill="1" applyBorder="1" applyAlignment="1">
      <alignment horizontal="left" vertical="center"/>
    </xf>
    <xf numFmtId="0" fontId="19" fillId="6" borderId="3" xfId="0" applyFont="1" applyFill="1" applyBorder="1" applyAlignment="1">
      <alignment horizontal="left" vertical="center"/>
    </xf>
    <xf numFmtId="0" fontId="31"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30" fillId="3" borderId="13"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22"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20"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6" fillId="3" borderId="15" xfId="0" applyFont="1" applyFill="1" applyBorder="1" applyAlignment="1">
      <alignment horizontal="center" vertical="center" wrapText="1"/>
    </xf>
    <xf numFmtId="0" fontId="22" fillId="3" borderId="19" xfId="0" applyFont="1" applyFill="1" applyBorder="1" applyAlignment="1">
      <alignment horizontal="left" vertical="top" wrapText="1"/>
    </xf>
    <xf numFmtId="0" fontId="9" fillId="3" borderId="25" xfId="0" applyFont="1" applyFill="1" applyBorder="1" applyAlignment="1">
      <alignment horizontal="left" vertical="top" wrapText="1"/>
    </xf>
    <xf numFmtId="0" fontId="9" fillId="3" borderId="16" xfId="0" applyFont="1" applyFill="1" applyBorder="1" applyAlignment="1">
      <alignment horizontal="left" vertical="top" wrapText="1"/>
    </xf>
    <xf numFmtId="0" fontId="15" fillId="5" borderId="13"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29" fillId="5" borderId="13" xfId="0" applyFont="1" applyFill="1" applyBorder="1" applyAlignment="1">
      <alignment horizontal="center" vertical="center" wrapText="1"/>
    </xf>
    <xf numFmtId="0" fontId="14" fillId="5" borderId="14" xfId="0" applyFont="1" applyFill="1" applyBorder="1" applyAlignment="1">
      <alignment horizontal="center" vertical="center" wrapText="1"/>
    </xf>
    <xf numFmtId="0" fontId="14" fillId="5" borderId="15"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27" fillId="6" borderId="4" xfId="0" applyFont="1" applyFill="1" applyBorder="1" applyAlignment="1">
      <alignment horizontal="left" vertical="center" wrapText="1"/>
    </xf>
    <xf numFmtId="0" fontId="27" fillId="6" borderId="0" xfId="0" applyFont="1" applyFill="1" applyBorder="1" applyAlignment="1">
      <alignment horizontal="left" vertical="center" wrapText="1"/>
    </xf>
    <xf numFmtId="0" fontId="27" fillId="6" borderId="5" xfId="0" applyFont="1" applyFill="1" applyBorder="1" applyAlignment="1">
      <alignment horizontal="left" vertical="center" wrapText="1"/>
    </xf>
    <xf numFmtId="0" fontId="19" fillId="6" borderId="4" xfId="0" applyFont="1" applyFill="1" applyBorder="1" applyAlignment="1">
      <alignment horizontal="left" vertical="center" wrapText="1"/>
    </xf>
    <xf numFmtId="0" fontId="19" fillId="6" borderId="0"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22" fillId="0" borderId="4" xfId="0" applyFont="1" applyBorder="1" applyAlignment="1">
      <alignment horizontal="left" vertical="top" wrapText="1"/>
    </xf>
    <xf numFmtId="0" fontId="22" fillId="0" borderId="0" xfId="0" applyFont="1" applyBorder="1" applyAlignment="1">
      <alignment horizontal="left" vertical="top" wrapText="1"/>
    </xf>
    <xf numFmtId="0" fontId="22" fillId="0" borderId="5" xfId="0" applyFont="1" applyBorder="1" applyAlignment="1">
      <alignment horizontal="left" vertical="top" wrapText="1"/>
    </xf>
    <xf numFmtId="0" fontId="22" fillId="0" borderId="4" xfId="0" applyFont="1" applyBorder="1" applyAlignment="1">
      <alignment horizontal="left" vertical="top"/>
    </xf>
    <xf numFmtId="0" fontId="22" fillId="0" borderId="0" xfId="0" applyFont="1" applyBorder="1" applyAlignment="1">
      <alignment horizontal="left" vertical="top"/>
    </xf>
    <xf numFmtId="0" fontId="22" fillId="0" borderId="5" xfId="0" applyFont="1" applyBorder="1" applyAlignment="1">
      <alignment horizontal="left" vertical="top"/>
    </xf>
    <xf numFmtId="0" fontId="9" fillId="4" borderId="0" xfId="0" applyFont="1" applyFill="1" applyAlignment="1">
      <alignment horizontal="left" vertical="top"/>
    </xf>
    <xf numFmtId="0" fontId="52" fillId="4" borderId="36" xfId="0" applyFont="1" applyFill="1" applyBorder="1" applyAlignment="1">
      <alignment horizontal="center" vertical="center"/>
    </xf>
    <xf numFmtId="0" fontId="52" fillId="4" borderId="37" xfId="0" applyFont="1" applyFill="1" applyBorder="1" applyAlignment="1">
      <alignment horizontal="center" vertical="center"/>
    </xf>
    <xf numFmtId="0" fontId="52" fillId="4" borderId="38" xfId="0" applyFont="1" applyFill="1" applyBorder="1" applyAlignment="1">
      <alignment horizontal="center" vertical="center"/>
    </xf>
    <xf numFmtId="0" fontId="19" fillId="0" borderId="4" xfId="0" applyFont="1" applyBorder="1" applyAlignment="1">
      <alignment vertical="top"/>
    </xf>
    <xf numFmtId="0" fontId="19" fillId="0" borderId="0" xfId="0" applyFont="1" applyBorder="1" applyAlignment="1">
      <alignment vertical="top"/>
    </xf>
    <xf numFmtId="0" fontId="19" fillId="0" borderId="5" xfId="0" applyFont="1" applyBorder="1" applyAlignment="1">
      <alignment vertical="top"/>
    </xf>
    <xf numFmtId="0" fontId="19" fillId="0" borderId="33" xfId="0" applyFont="1" applyBorder="1" applyAlignment="1">
      <alignment vertical="top" wrapText="1"/>
    </xf>
    <xf numFmtId="0" fontId="19" fillId="0" borderId="34" xfId="0" applyFont="1" applyBorder="1" applyAlignment="1">
      <alignment vertical="top"/>
    </xf>
    <xf numFmtId="0" fontId="19" fillId="0" borderId="35" xfId="0" applyFont="1" applyBorder="1" applyAlignment="1">
      <alignment vertical="top"/>
    </xf>
    <xf numFmtId="0" fontId="26" fillId="0" borderId="4" xfId="0" applyFont="1" applyBorder="1" applyAlignment="1">
      <alignment horizontal="left" vertical="center" wrapText="1"/>
    </xf>
    <xf numFmtId="0" fontId="26" fillId="0" borderId="0" xfId="0" applyFont="1" applyBorder="1" applyAlignment="1">
      <alignment horizontal="left" vertical="center" wrapText="1"/>
    </xf>
    <xf numFmtId="0" fontId="26" fillId="0" borderId="5" xfId="0" applyFont="1" applyBorder="1" applyAlignment="1">
      <alignment horizontal="left" vertical="center" wrapText="1"/>
    </xf>
    <xf numFmtId="0" fontId="44" fillId="6" borderId="4" xfId="2" applyFont="1" applyFill="1" applyBorder="1" applyAlignment="1">
      <alignment horizontal="left" vertical="center"/>
    </xf>
    <xf numFmtId="0" fontId="44" fillId="6" borderId="0" xfId="2" applyFont="1" applyFill="1" applyBorder="1" applyAlignment="1">
      <alignment horizontal="left" vertical="center"/>
    </xf>
    <xf numFmtId="0" fontId="44" fillId="6" borderId="5" xfId="2" applyFont="1" applyFill="1" applyBorder="1" applyAlignment="1">
      <alignment horizontal="left" vertical="center"/>
    </xf>
    <xf numFmtId="0" fontId="9" fillId="4" borderId="0"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5" fillId="0" borderId="4" xfId="0" applyFont="1" applyBorder="1" applyAlignment="1">
      <alignment horizontal="center" vertical="top"/>
    </xf>
    <xf numFmtId="0" fontId="5" fillId="0" borderId="0" xfId="0" applyFont="1" applyAlignment="1">
      <alignment horizontal="center" vertical="top"/>
    </xf>
    <xf numFmtId="0" fontId="5" fillId="0" borderId="5" xfId="0" applyFont="1" applyBorder="1" applyAlignment="1">
      <alignment horizontal="center" vertical="top"/>
    </xf>
    <xf numFmtId="0" fontId="6" fillId="0" borderId="4" xfId="0" applyFont="1" applyBorder="1" applyAlignment="1">
      <alignment horizontal="left" vertical="top" wrapText="1"/>
    </xf>
    <xf numFmtId="0" fontId="6" fillId="0" borderId="0" xfId="0" applyFont="1" applyAlignment="1">
      <alignment horizontal="left" vertical="top" wrapText="1"/>
    </xf>
    <xf numFmtId="0" fontId="6" fillId="0" borderId="5"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5" xfId="0" applyFont="1" applyBorder="1" applyAlignment="1">
      <alignment horizontal="left" vertical="top" wrapText="1"/>
    </xf>
    <xf numFmtId="0" fontId="7" fillId="0" borderId="4" xfId="0" applyFont="1" applyBorder="1" applyAlignment="1">
      <alignment horizontal="left" vertical="top"/>
    </xf>
    <xf numFmtId="0" fontId="7" fillId="0" borderId="0" xfId="0" applyFont="1" applyAlignment="1">
      <alignment horizontal="left" vertical="top"/>
    </xf>
    <xf numFmtId="0" fontId="7" fillId="0" borderId="5" xfId="0" applyFont="1" applyBorder="1" applyAlignment="1">
      <alignment horizontal="left" vertical="top"/>
    </xf>
    <xf numFmtId="0" fontId="2" fillId="0" borderId="4" xfId="0" applyFont="1" applyBorder="1" applyAlignment="1">
      <alignment horizontal="left" vertical="top"/>
    </xf>
    <xf numFmtId="0" fontId="2" fillId="0" borderId="0" xfId="0" applyFont="1" applyAlignment="1">
      <alignment horizontal="left" vertical="top"/>
    </xf>
    <xf numFmtId="0" fontId="2" fillId="0" borderId="5" xfId="0" applyFont="1" applyBorder="1" applyAlignment="1">
      <alignment horizontal="left" vertical="top"/>
    </xf>
    <xf numFmtId="0" fontId="2" fillId="0" borderId="4" xfId="0" applyFont="1" applyBorder="1" applyAlignment="1">
      <alignment horizontal="center" vertical="top"/>
    </xf>
    <xf numFmtId="0" fontId="2" fillId="0" borderId="0" xfId="0" applyFont="1" applyAlignment="1">
      <alignment horizontal="center" vertical="top"/>
    </xf>
    <xf numFmtId="0" fontId="2" fillId="0" borderId="5" xfId="0" applyFont="1" applyBorder="1" applyAlignment="1">
      <alignment horizontal="center" vertical="top"/>
    </xf>
    <xf numFmtId="0" fontId="7" fillId="0" borderId="4"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DDDDDD"/>
      <color rgb="FF5B46DA"/>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10583</xdr:rowOff>
    </xdr:from>
    <xdr:to>
      <xdr:col>0</xdr:col>
      <xdr:colOff>171450</xdr:colOff>
      <xdr:row>24</xdr:row>
      <xdr:rowOff>192617</xdr:rowOff>
    </xdr:to>
    <xdr:pic>
      <xdr:nvPicPr>
        <xdr:cNvPr id="5" name="Picture 4"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2730480"/>
          <a:ext cx="171450" cy="182245"/>
        </a:xfrm>
        <a:prstGeom prst="rect">
          <a:avLst/>
        </a:prstGeom>
        <a:noFill/>
        <a:effectLst>
          <a:outerShdw blurRad="50800" dist="50800" dir="5400000" algn="ctr" rotWithShape="0">
            <a:schemeClr val="tx1">
              <a:lumMod val="85000"/>
              <a:lumOff val="15000"/>
            </a:scheme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171450</xdr:colOff>
      <xdr:row>25</xdr:row>
      <xdr:rowOff>171450</xdr:rowOff>
    </xdr:to>
    <xdr:pic>
      <xdr:nvPicPr>
        <xdr:cNvPr id="6" name="Picture 5" desc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0" y="12994640"/>
          <a:ext cx="171450" cy="171450"/>
        </a:xfrm>
        <a:prstGeom prst="rect">
          <a:avLst/>
        </a:prstGeom>
        <a:noFill/>
        <a:effectLst>
          <a:outerShdw blurRad="50800" dist="50800" dir="5400000" algn="ctr" rotWithShape="0">
            <a:schemeClr val="accent3">
              <a:lumMod val="50000"/>
            </a:scheme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171450</xdr:colOff>
      <xdr:row>26</xdr:row>
      <xdr:rowOff>171450</xdr:rowOff>
    </xdr:to>
    <xdr:pic>
      <xdr:nvPicPr>
        <xdr:cNvPr id="7" name="Picture 6"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31851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0</xdr:col>
      <xdr:colOff>171450</xdr:colOff>
      <xdr:row>27</xdr:row>
      <xdr:rowOff>171450</xdr:rowOff>
    </xdr:to>
    <xdr:pic>
      <xdr:nvPicPr>
        <xdr:cNvPr id="8" name="Picture 7"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33629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171450</xdr:colOff>
      <xdr:row>29</xdr:row>
      <xdr:rowOff>171450</xdr:rowOff>
    </xdr:to>
    <xdr:pic>
      <xdr:nvPicPr>
        <xdr:cNvPr id="9" name="Picture 8"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37185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171450</xdr:colOff>
      <xdr:row>33</xdr:row>
      <xdr:rowOff>171450</xdr:rowOff>
    </xdr:to>
    <xdr:pic>
      <xdr:nvPicPr>
        <xdr:cNvPr id="13" name="Picture 12"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6075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171450</xdr:colOff>
      <xdr:row>35</xdr:row>
      <xdr:rowOff>0</xdr:rowOff>
    </xdr:to>
    <xdr:pic>
      <xdr:nvPicPr>
        <xdr:cNvPr id="14" name="Picture 13"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7853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xdr:row>
      <xdr:rowOff>0</xdr:rowOff>
    </xdr:from>
    <xdr:to>
      <xdr:col>0</xdr:col>
      <xdr:colOff>171450</xdr:colOff>
      <xdr:row>35</xdr:row>
      <xdr:rowOff>171450</xdr:rowOff>
    </xdr:to>
    <xdr:pic>
      <xdr:nvPicPr>
        <xdr:cNvPr id="15" name="Picture 14"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9631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171450</xdr:colOff>
      <xdr:row>36</xdr:row>
      <xdr:rowOff>171450</xdr:rowOff>
    </xdr:to>
    <xdr:pic>
      <xdr:nvPicPr>
        <xdr:cNvPr id="16" name="Picture 15"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51409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171450</xdr:colOff>
      <xdr:row>37</xdr:row>
      <xdr:rowOff>171450</xdr:rowOff>
    </xdr:to>
    <xdr:pic>
      <xdr:nvPicPr>
        <xdr:cNvPr id="17" name="Picture 16"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53187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171450</xdr:colOff>
      <xdr:row>37</xdr:row>
      <xdr:rowOff>171450</xdr:rowOff>
    </xdr:to>
    <xdr:pic>
      <xdr:nvPicPr>
        <xdr:cNvPr id="18" name="Picture 17"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53187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0</xdr:rowOff>
    </xdr:from>
    <xdr:to>
      <xdr:col>0</xdr:col>
      <xdr:colOff>171450</xdr:colOff>
      <xdr:row>39</xdr:row>
      <xdr:rowOff>171450</xdr:rowOff>
    </xdr:to>
    <xdr:pic>
      <xdr:nvPicPr>
        <xdr:cNvPr id="19" name="Picture 18"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56743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0</xdr:rowOff>
    </xdr:from>
    <xdr:to>
      <xdr:col>0</xdr:col>
      <xdr:colOff>171450</xdr:colOff>
      <xdr:row>46</xdr:row>
      <xdr:rowOff>171450</xdr:rowOff>
    </xdr:to>
    <xdr:pic>
      <xdr:nvPicPr>
        <xdr:cNvPr id="20" name="Picture 19"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62077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0</xdr:rowOff>
    </xdr:from>
    <xdr:to>
      <xdr:col>0</xdr:col>
      <xdr:colOff>171450</xdr:colOff>
      <xdr:row>47</xdr:row>
      <xdr:rowOff>171450</xdr:rowOff>
    </xdr:to>
    <xdr:pic>
      <xdr:nvPicPr>
        <xdr:cNvPr id="21" name="Picture 20"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63855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0</xdr:rowOff>
    </xdr:from>
    <xdr:to>
      <xdr:col>0</xdr:col>
      <xdr:colOff>171450</xdr:colOff>
      <xdr:row>48</xdr:row>
      <xdr:rowOff>171450</xdr:rowOff>
    </xdr:to>
    <xdr:pic>
      <xdr:nvPicPr>
        <xdr:cNvPr id="22" name="Picture 21"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65633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xdr:row>
      <xdr:rowOff>0</xdr:rowOff>
    </xdr:from>
    <xdr:to>
      <xdr:col>0</xdr:col>
      <xdr:colOff>171450</xdr:colOff>
      <xdr:row>49</xdr:row>
      <xdr:rowOff>171450</xdr:rowOff>
    </xdr:to>
    <xdr:pic>
      <xdr:nvPicPr>
        <xdr:cNvPr id="23" name="Picture 22"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67411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xdr:row>
      <xdr:rowOff>0</xdr:rowOff>
    </xdr:from>
    <xdr:to>
      <xdr:col>0</xdr:col>
      <xdr:colOff>171450</xdr:colOff>
      <xdr:row>63</xdr:row>
      <xdr:rowOff>0</xdr:rowOff>
    </xdr:to>
    <xdr:pic>
      <xdr:nvPicPr>
        <xdr:cNvPr id="32" name="Picture 31"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9173190"/>
          <a:ext cx="171450"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xdr:row>
      <xdr:rowOff>0</xdr:rowOff>
    </xdr:from>
    <xdr:to>
      <xdr:col>0</xdr:col>
      <xdr:colOff>171450</xdr:colOff>
      <xdr:row>63</xdr:row>
      <xdr:rowOff>171450</xdr:rowOff>
    </xdr:to>
    <xdr:pic>
      <xdr:nvPicPr>
        <xdr:cNvPr id="33" name="Picture 32"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935226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171450</xdr:colOff>
      <xdr:row>64</xdr:row>
      <xdr:rowOff>171450</xdr:rowOff>
    </xdr:to>
    <xdr:pic>
      <xdr:nvPicPr>
        <xdr:cNvPr id="34" name="Picture 33"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953006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xdr:row>
      <xdr:rowOff>0</xdr:rowOff>
    </xdr:from>
    <xdr:to>
      <xdr:col>0</xdr:col>
      <xdr:colOff>171450</xdr:colOff>
      <xdr:row>65</xdr:row>
      <xdr:rowOff>171450</xdr:rowOff>
    </xdr:to>
    <xdr:pic>
      <xdr:nvPicPr>
        <xdr:cNvPr id="35" name="Picture 34"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970786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0</xdr:rowOff>
    </xdr:from>
    <xdr:to>
      <xdr:col>0</xdr:col>
      <xdr:colOff>171450</xdr:colOff>
      <xdr:row>47</xdr:row>
      <xdr:rowOff>171450</xdr:rowOff>
    </xdr:to>
    <xdr:pic>
      <xdr:nvPicPr>
        <xdr:cNvPr id="38" name="Picture 37"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63855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47</xdr:row>
      <xdr:rowOff>0</xdr:rowOff>
    </xdr:from>
    <xdr:ext cx="171450" cy="171450"/>
    <xdr:pic>
      <xdr:nvPicPr>
        <xdr:cNvPr id="39" name="Picture 38"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63855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47</xdr:row>
      <xdr:rowOff>0</xdr:rowOff>
    </xdr:from>
    <xdr:ext cx="171450" cy="171450"/>
    <xdr:pic>
      <xdr:nvPicPr>
        <xdr:cNvPr id="40" name="Picture 39"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63855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0</xdr:colOff>
      <xdr:row>56</xdr:row>
      <xdr:rowOff>0</xdr:rowOff>
    </xdr:from>
    <xdr:to>
      <xdr:col>0</xdr:col>
      <xdr:colOff>171450</xdr:colOff>
      <xdr:row>56</xdr:row>
      <xdr:rowOff>171450</xdr:rowOff>
    </xdr:to>
    <xdr:pic>
      <xdr:nvPicPr>
        <xdr:cNvPr id="42" name="Picture 41"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78587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171450</xdr:colOff>
      <xdr:row>57</xdr:row>
      <xdr:rowOff>171450</xdr:rowOff>
    </xdr:to>
    <xdr:pic>
      <xdr:nvPicPr>
        <xdr:cNvPr id="43" name="Picture 42"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80492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xdr:row>
      <xdr:rowOff>0</xdr:rowOff>
    </xdr:from>
    <xdr:to>
      <xdr:col>0</xdr:col>
      <xdr:colOff>171450</xdr:colOff>
      <xdr:row>58</xdr:row>
      <xdr:rowOff>171450</xdr:rowOff>
    </xdr:to>
    <xdr:pic>
      <xdr:nvPicPr>
        <xdr:cNvPr id="44" name="Picture 43"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82397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xdr:row>
      <xdr:rowOff>0</xdr:rowOff>
    </xdr:from>
    <xdr:to>
      <xdr:col>0</xdr:col>
      <xdr:colOff>171450</xdr:colOff>
      <xdr:row>59</xdr:row>
      <xdr:rowOff>171450</xdr:rowOff>
    </xdr:to>
    <xdr:pic>
      <xdr:nvPicPr>
        <xdr:cNvPr id="45" name="Picture 44"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84302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0</xdr:col>
      <xdr:colOff>171450</xdr:colOff>
      <xdr:row>60</xdr:row>
      <xdr:rowOff>171450</xdr:rowOff>
    </xdr:to>
    <xdr:pic>
      <xdr:nvPicPr>
        <xdr:cNvPr id="46" name="Picture 45"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86207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171450</xdr:colOff>
      <xdr:row>28</xdr:row>
      <xdr:rowOff>171450</xdr:rowOff>
    </xdr:to>
    <xdr:pic>
      <xdr:nvPicPr>
        <xdr:cNvPr id="47" name="Picture 46"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35407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xdr:row>
      <xdr:rowOff>0</xdr:rowOff>
    </xdr:from>
    <xdr:to>
      <xdr:col>0</xdr:col>
      <xdr:colOff>171450</xdr:colOff>
      <xdr:row>38</xdr:row>
      <xdr:rowOff>171450</xdr:rowOff>
    </xdr:to>
    <xdr:pic>
      <xdr:nvPicPr>
        <xdr:cNvPr id="50" name="Picture 49" desc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5496540"/>
          <a:ext cx="1714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530226</xdr:colOff>
      <xdr:row>1</xdr:row>
      <xdr:rowOff>158750</xdr:rowOff>
    </xdr:from>
    <xdr:to>
      <xdr:col>1</xdr:col>
      <xdr:colOff>1571625</xdr:colOff>
      <xdr:row>1</xdr:row>
      <xdr:rowOff>1201028</xdr:rowOff>
    </xdr:to>
    <xdr:pic>
      <xdr:nvPicPr>
        <xdr:cNvPr id="3" name="Picture 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0226" y="349250"/>
          <a:ext cx="2908299" cy="1042278"/>
        </a:xfrm>
        <a:prstGeom prst="rect">
          <a:avLst/>
        </a:prstGeom>
      </xdr:spPr>
    </xdr:pic>
    <xdr:clientData/>
  </xdr:twoCellAnchor>
</xdr:wsDr>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services.ica.gov.sg/sgarrivalc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W171"/>
  <sheetViews>
    <sheetView topLeftCell="A19" zoomScaleNormal="100" zoomScalePageLayoutView="10" workbookViewId="0">
      <selection activeCell="A21" sqref="A21:F21"/>
    </sheetView>
  </sheetViews>
  <sheetFormatPr defaultColWidth="8.83203125" defaultRowHeight="15" x14ac:dyDescent="0.2"/>
  <cols>
    <col min="1" max="2" width="32.6640625" style="18" customWidth="1"/>
    <col min="3" max="3" width="39.1640625" style="18" customWidth="1"/>
    <col min="4" max="4" width="24.6640625" style="18" customWidth="1"/>
    <col min="5" max="5" width="50.33203125" style="18" customWidth="1"/>
    <col min="6" max="6" width="10.83203125" style="18" customWidth="1"/>
    <col min="7" max="7" width="21.1640625" style="18" customWidth="1"/>
    <col min="8" max="8" width="15.1640625" style="18" customWidth="1"/>
    <col min="9" max="9" width="19.6640625" style="18" customWidth="1"/>
    <col min="10" max="10" width="13.6640625" style="18" customWidth="1"/>
    <col min="11" max="11" width="12" style="18" customWidth="1"/>
    <col min="12" max="12" width="6.1640625" style="18" customWidth="1"/>
    <col min="13" max="13" width="12.1640625" style="18" customWidth="1"/>
    <col min="14" max="14" width="16.83203125" style="18" customWidth="1"/>
    <col min="15" max="15" width="18.5" style="18" customWidth="1"/>
    <col min="16" max="16" width="39.83203125" style="18" customWidth="1"/>
    <col min="17" max="17" width="42.33203125" style="18" customWidth="1"/>
    <col min="18" max="18" width="58.33203125" style="18" customWidth="1"/>
    <col min="19" max="20" width="8.83203125" style="18"/>
    <col min="21" max="22" width="12.33203125" style="18" customWidth="1"/>
    <col min="23" max="23" width="36.6640625" style="18" customWidth="1"/>
    <col min="24" max="16384" width="8.83203125" style="18"/>
  </cols>
  <sheetData>
    <row r="2" spans="1:15" ht="105" customHeight="1" x14ac:dyDescent="0.2">
      <c r="A2" s="197" t="s">
        <v>0</v>
      </c>
      <c r="B2" s="198"/>
      <c r="C2" s="198"/>
      <c r="D2" s="198"/>
      <c r="E2" s="198"/>
      <c r="F2" s="199"/>
    </row>
    <row r="3" spans="1:15" ht="36.950000000000003" customHeight="1" x14ac:dyDescent="0.2">
      <c r="A3" s="55" t="s">
        <v>144</v>
      </c>
      <c r="B3" s="200" t="s">
        <v>1</v>
      </c>
      <c r="C3" s="201"/>
      <c r="D3" s="202"/>
      <c r="E3" s="203" t="s">
        <v>212</v>
      </c>
      <c r="F3" s="204"/>
      <c r="G3" s="19"/>
      <c r="H3" s="20"/>
      <c r="I3" s="20"/>
    </row>
    <row r="4" spans="1:15" ht="36.950000000000003" customHeight="1" x14ac:dyDescent="0.2">
      <c r="A4" s="53" t="s">
        <v>211</v>
      </c>
      <c r="B4" s="200" t="s">
        <v>3</v>
      </c>
      <c r="C4" s="201"/>
      <c r="D4" s="202"/>
      <c r="E4" s="74" t="s">
        <v>241</v>
      </c>
      <c r="F4" s="63">
        <v>6</v>
      </c>
      <c r="G4" s="19"/>
      <c r="H4" s="20"/>
      <c r="I4" s="20"/>
    </row>
    <row r="5" spans="1:15" ht="66" customHeight="1" x14ac:dyDescent="0.2">
      <c r="A5" s="54" t="s">
        <v>142</v>
      </c>
      <c r="B5" s="205"/>
      <c r="C5" s="206"/>
      <c r="D5" s="207"/>
      <c r="E5" s="208" t="s">
        <v>213</v>
      </c>
      <c r="F5" s="209"/>
      <c r="G5" s="21"/>
      <c r="H5" s="22"/>
      <c r="I5" s="22"/>
      <c r="J5" s="22"/>
      <c r="K5" s="22"/>
      <c r="L5" s="22"/>
    </row>
    <row r="6" spans="1:15" ht="30" customHeight="1" x14ac:dyDescent="0.2">
      <c r="A6" s="23" t="s">
        <v>4</v>
      </c>
      <c r="B6" s="217" t="s">
        <v>99</v>
      </c>
      <c r="C6" s="218"/>
      <c r="D6" s="219"/>
      <c r="E6" s="220" t="s">
        <v>5</v>
      </c>
      <c r="F6" s="221"/>
      <c r="I6" s="18" t="s">
        <v>6</v>
      </c>
      <c r="K6" s="18" t="s">
        <v>7</v>
      </c>
      <c r="M6" s="45" t="s">
        <v>2</v>
      </c>
      <c r="O6" s="45"/>
    </row>
    <row r="7" spans="1:15" s="60" customFormat="1" ht="30" customHeight="1" x14ac:dyDescent="0.2">
      <c r="A7" s="55" t="s">
        <v>101</v>
      </c>
      <c r="B7" s="203" t="s">
        <v>126</v>
      </c>
      <c r="C7" s="201"/>
      <c r="D7" s="202"/>
      <c r="E7" s="75" t="s">
        <v>240</v>
      </c>
      <c r="F7" s="24">
        <v>3</v>
      </c>
      <c r="G7" s="25">
        <f>VLOOKUP(B7,Sheet2!A:B,2,FALSE)</f>
        <v>104</v>
      </c>
      <c r="H7" s="18">
        <f>G7*F7</f>
        <v>312</v>
      </c>
      <c r="I7" s="18">
        <f>H7/2</f>
        <v>156</v>
      </c>
      <c r="J7" s="18">
        <f>VLOOKUP(B7,Sheet2!A:C,3,FALSE)</f>
        <v>0</v>
      </c>
    </row>
    <row r="8" spans="1:15" ht="30" customHeight="1" x14ac:dyDescent="0.2">
      <c r="A8" s="55"/>
      <c r="B8" s="203"/>
      <c r="C8" s="201"/>
      <c r="D8" s="202"/>
      <c r="E8" s="47"/>
      <c r="F8" s="24">
        <v>4</v>
      </c>
      <c r="G8" s="25" t="e">
        <f>VLOOKUP(B8,Sheet2!A:B,2,FALSE)</f>
        <v>#N/A</v>
      </c>
      <c r="H8" s="18" t="e">
        <f>G8*F8</f>
        <v>#N/A</v>
      </c>
      <c r="I8" s="18" t="e">
        <f>H8/2</f>
        <v>#N/A</v>
      </c>
      <c r="J8" s="18" t="e">
        <f>VLOOKUP(B8,Sheet2!A:C,3,FALSE)</f>
        <v>#N/A</v>
      </c>
      <c r="K8" s="38" t="e">
        <f>(J8*F8)</f>
        <v>#N/A</v>
      </c>
      <c r="L8" s="18" t="e">
        <f>VLOOKUP(B8,Sheet2!A:D,4,FALSE)</f>
        <v>#N/A</v>
      </c>
      <c r="M8" s="38" t="e">
        <f>(L8*F8)</f>
        <v>#N/A</v>
      </c>
    </row>
    <row r="9" spans="1:15" ht="30" customHeight="1" thickBot="1" x14ac:dyDescent="0.25">
      <c r="A9" s="26" t="s">
        <v>8</v>
      </c>
      <c r="B9" s="27" t="s">
        <v>9</v>
      </c>
      <c r="C9" s="27" t="s">
        <v>10</v>
      </c>
      <c r="D9" s="215" t="s">
        <v>11</v>
      </c>
      <c r="E9" s="216"/>
      <c r="F9" s="28" t="s">
        <v>12</v>
      </c>
      <c r="I9" s="39" t="e">
        <f>SUM(I8:I8)</f>
        <v>#N/A</v>
      </c>
      <c r="K9" s="38" t="e">
        <f>SUM(K8:K8)</f>
        <v>#N/A</v>
      </c>
      <c r="M9" s="38" t="e">
        <f>SUM(M8:M8)</f>
        <v>#N/A</v>
      </c>
    </row>
    <row r="10" spans="1:15" ht="66" customHeight="1" thickBot="1" x14ac:dyDescent="0.25">
      <c r="A10" s="52">
        <v>45944</v>
      </c>
      <c r="B10" s="29" t="s">
        <v>13</v>
      </c>
      <c r="C10" s="48" t="s">
        <v>100</v>
      </c>
      <c r="D10" s="210" t="s">
        <v>325</v>
      </c>
      <c r="E10" s="211"/>
      <c r="F10" s="30" t="s">
        <v>159</v>
      </c>
      <c r="G10" s="31" t="e">
        <f>VLOOKUP(D10,Sheet1!A:B,2,FALSE)</f>
        <v>#N/A</v>
      </c>
      <c r="H10" s="31" t="e">
        <f>VLOOKUP(D10,Sheet1!A:C,3,FALSE)</f>
        <v>#N/A</v>
      </c>
      <c r="I10" s="18" t="e">
        <f>VLOOKUP(D10,Sheet1!A:D,4,FALSE)</f>
        <v>#N/A</v>
      </c>
      <c r="J10" s="18">
        <f>VLOOKUP(F10,Sheet1!G:H,2,FALSE)</f>
        <v>0</v>
      </c>
    </row>
    <row r="11" spans="1:15" s="50" customFormat="1" ht="81" customHeight="1" thickBot="1" x14ac:dyDescent="0.25">
      <c r="A11" s="52">
        <v>45945</v>
      </c>
      <c r="B11" s="51" t="s">
        <v>13</v>
      </c>
      <c r="C11" s="48" t="s">
        <v>143</v>
      </c>
      <c r="D11" s="210" t="s">
        <v>309</v>
      </c>
      <c r="E11" s="211"/>
      <c r="F11" s="30" t="s">
        <v>159</v>
      </c>
      <c r="G11" s="31" t="e">
        <f>VLOOKUP(D11,Sheet1!A:B,2,FALSE)</f>
        <v>#N/A</v>
      </c>
      <c r="H11" s="31" t="e">
        <f>VLOOKUP(D11,Sheet1!A:C,3,FALSE)</f>
        <v>#N/A</v>
      </c>
      <c r="I11" s="18" t="e">
        <f>VLOOKUP(D11,Sheet1!A:D,4,FALSE)</f>
        <v>#N/A</v>
      </c>
      <c r="J11" s="18">
        <f>VLOOKUP(F11,Sheet1!G:H,2,FALSE)</f>
        <v>0</v>
      </c>
    </row>
    <row r="12" spans="1:15" s="50" customFormat="1" ht="50.1" customHeight="1" thickBot="1" x14ac:dyDescent="0.25">
      <c r="A12" s="52">
        <v>45946</v>
      </c>
      <c r="B12" s="49" t="s">
        <v>13</v>
      </c>
      <c r="C12" s="48" t="s">
        <v>143</v>
      </c>
      <c r="D12" s="210" t="s">
        <v>171</v>
      </c>
      <c r="E12" s="211"/>
      <c r="F12" s="30" t="s">
        <v>159</v>
      </c>
      <c r="G12" s="31" t="e">
        <f>VLOOKUP(D12,Sheet1!A:B,2,FALSE)</f>
        <v>#N/A</v>
      </c>
      <c r="H12" s="31" t="e">
        <f>VLOOKUP(D12,Sheet1!A:C,3,FALSE)</f>
        <v>#N/A</v>
      </c>
      <c r="I12" s="101" t="e">
        <f>VLOOKUP(D12,Sheet1!A:D,4,FALSE)</f>
        <v>#N/A</v>
      </c>
      <c r="J12" s="101">
        <f>VLOOKUP(F12,Sheet1!G:H,2,FALSE)</f>
        <v>0</v>
      </c>
    </row>
    <row r="13" spans="1:15" s="50" customFormat="1" ht="50.1" customHeight="1" thickBot="1" x14ac:dyDescent="0.25">
      <c r="A13" s="52">
        <v>45947</v>
      </c>
      <c r="B13" s="49" t="s">
        <v>13</v>
      </c>
      <c r="C13" s="48" t="s">
        <v>143</v>
      </c>
      <c r="D13" s="210" t="s">
        <v>257</v>
      </c>
      <c r="E13" s="211"/>
      <c r="F13" s="30" t="s">
        <v>159</v>
      </c>
      <c r="G13" s="31" t="e">
        <f>VLOOKUP(D13,Sheet1!A:B,2,FALSE)</f>
        <v>#N/A</v>
      </c>
      <c r="H13" s="31" t="e">
        <f>VLOOKUP(D13,Sheet1!A:C,3,FALSE)</f>
        <v>#N/A</v>
      </c>
      <c r="I13" s="101" t="e">
        <f>VLOOKUP(D13,Sheet1!A:D,4,FALSE)</f>
        <v>#N/A</v>
      </c>
      <c r="J13" s="101">
        <f>VLOOKUP(F13,Sheet1!G:H,2,FALSE)</f>
        <v>0</v>
      </c>
    </row>
    <row r="14" spans="1:15" ht="50.1" customHeight="1" thickBot="1" x14ac:dyDescent="0.25">
      <c r="A14" s="52"/>
      <c r="B14" s="49"/>
      <c r="C14" s="48"/>
      <c r="D14" s="210" t="s">
        <v>160</v>
      </c>
      <c r="E14" s="211"/>
      <c r="F14" s="30" t="s">
        <v>159</v>
      </c>
      <c r="G14" s="31">
        <f>VLOOKUP(D14,Sheet1!A:B,2,FALSE)</f>
        <v>0</v>
      </c>
      <c r="H14" s="31">
        <f>VLOOKUP(D14,Sheet1!A:C,3,FALSE)</f>
        <v>0</v>
      </c>
      <c r="I14" s="101">
        <f>VLOOKUP(D14,Sheet1!A:D,4,FALSE)</f>
        <v>0</v>
      </c>
      <c r="J14" s="101">
        <f>VLOOKUP(F14,Sheet1!G:H,2,FALSE)</f>
        <v>0</v>
      </c>
    </row>
    <row r="15" spans="1:15" ht="50.1" customHeight="1" thickBot="1" x14ac:dyDescent="0.25">
      <c r="A15" s="52">
        <v>45949</v>
      </c>
      <c r="B15" s="29" t="s">
        <v>13</v>
      </c>
      <c r="C15" s="81" t="s">
        <v>143</v>
      </c>
      <c r="D15" s="210" t="s">
        <v>160</v>
      </c>
      <c r="E15" s="211"/>
      <c r="F15" s="30" t="s">
        <v>159</v>
      </c>
      <c r="G15" s="31">
        <f>VLOOKUP(D15,Sheet1!A:B,2,FALSE)</f>
        <v>0</v>
      </c>
      <c r="H15" s="31">
        <f>VLOOKUP(D15,Sheet1!A:C,3,FALSE)</f>
        <v>0</v>
      </c>
      <c r="I15" s="101">
        <f>VLOOKUP(D15,Sheet1!A:D,4,FALSE)</f>
        <v>0</v>
      </c>
      <c r="J15" s="101">
        <f>VLOOKUP(F15,Sheet1!G:H,2,FALSE)</f>
        <v>0</v>
      </c>
    </row>
    <row r="16" spans="1:15" ht="50.1" customHeight="1" thickBot="1" x14ac:dyDescent="0.25">
      <c r="A16" s="52"/>
      <c r="B16" s="29"/>
      <c r="C16" s="48"/>
      <c r="D16" s="210" t="s">
        <v>160</v>
      </c>
      <c r="E16" s="211"/>
      <c r="F16" s="30" t="s">
        <v>159</v>
      </c>
      <c r="G16" s="31">
        <f>VLOOKUP(D16,Sheet1!A:B,2,FALSE)</f>
        <v>0</v>
      </c>
      <c r="H16" s="31">
        <f>VLOOKUP(D16,Sheet1!A:C,3,FALSE)</f>
        <v>0</v>
      </c>
      <c r="I16" s="18">
        <f>VLOOKUP(D16,Sheet1!A:D,4,FALSE)</f>
        <v>0</v>
      </c>
      <c r="J16" s="101">
        <f>VLOOKUP(F16,Sheet1!G:H,2,FALSE)</f>
        <v>0</v>
      </c>
    </row>
    <row r="17" spans="1:10" ht="50.1" customHeight="1" x14ac:dyDescent="0.2">
      <c r="A17" s="52"/>
      <c r="B17" s="29"/>
      <c r="C17" s="48"/>
      <c r="D17" s="210" t="s">
        <v>160</v>
      </c>
      <c r="E17" s="211"/>
      <c r="F17" s="30" t="s">
        <v>159</v>
      </c>
      <c r="G17" s="31">
        <f>VLOOKUP(D17,Sheet1!A:B,2,FALSE)</f>
        <v>0</v>
      </c>
      <c r="H17" s="31">
        <f>VLOOKUP(D17,Sheet1!A:C,3,FALSE)</f>
        <v>0</v>
      </c>
      <c r="I17" s="18">
        <f>VLOOKUP(D17,Sheet1!A:D,4,FALSE)</f>
        <v>0</v>
      </c>
      <c r="J17" s="18">
        <f>VLOOKUP(F17,Sheet1!G:H,2,FALSE)</f>
        <v>0</v>
      </c>
    </row>
    <row r="18" spans="1:10" ht="57.75" customHeight="1" x14ac:dyDescent="0.2">
      <c r="A18" s="212" t="s">
        <v>102</v>
      </c>
      <c r="B18" s="213"/>
      <c r="C18" s="213"/>
      <c r="D18" s="213"/>
      <c r="E18" s="213"/>
      <c r="F18" s="214"/>
      <c r="G18" s="32" t="s">
        <v>6</v>
      </c>
      <c r="H18" s="32" t="s">
        <v>153</v>
      </c>
      <c r="I18" s="32" t="s">
        <v>154</v>
      </c>
      <c r="J18" s="50" t="s">
        <v>12</v>
      </c>
    </row>
    <row r="19" spans="1:10" ht="18.75" customHeight="1" x14ac:dyDescent="0.2">
      <c r="A19" s="185" t="s">
        <v>14</v>
      </c>
      <c r="B19" s="186"/>
      <c r="C19" s="186"/>
      <c r="D19" s="186"/>
      <c r="E19" s="186"/>
      <c r="F19" s="187"/>
      <c r="G19" s="33" t="e">
        <f>SUM(G10:G17)</f>
        <v>#N/A</v>
      </c>
      <c r="H19" s="33" t="e">
        <f>SUM(H10:H17)</f>
        <v>#N/A</v>
      </c>
      <c r="I19" s="33" t="e">
        <f>SUM(I10:I17)</f>
        <v>#N/A</v>
      </c>
      <c r="J19" s="18">
        <f>SUM(J10:J17)</f>
        <v>0</v>
      </c>
    </row>
    <row r="20" spans="1:10" ht="35.25" customHeight="1" thickBot="1" x14ac:dyDescent="0.25">
      <c r="A20" s="188" t="s">
        <v>103</v>
      </c>
      <c r="B20" s="189"/>
      <c r="C20" s="189"/>
      <c r="D20" s="189"/>
      <c r="E20" s="189"/>
      <c r="F20" s="190"/>
      <c r="I20" s="18" t="e">
        <f>I19/F4</f>
        <v>#N/A</v>
      </c>
    </row>
    <row r="21" spans="1:10" ht="22.5" customHeight="1" thickBot="1" x14ac:dyDescent="0.25">
      <c r="A21" s="191" t="s">
        <v>338</v>
      </c>
      <c r="B21" s="192"/>
      <c r="C21" s="192"/>
      <c r="D21" s="192"/>
      <c r="E21" s="192"/>
      <c r="F21" s="193"/>
      <c r="G21" s="41" t="s">
        <v>15</v>
      </c>
      <c r="H21" s="42" t="s">
        <v>16</v>
      </c>
      <c r="I21" s="44" t="s">
        <v>155</v>
      </c>
      <c r="J21" s="50"/>
    </row>
    <row r="22" spans="1:10" ht="21" thickBot="1" x14ac:dyDescent="0.25">
      <c r="A22" s="34"/>
      <c r="F22" s="35"/>
      <c r="G22" s="46" t="e">
        <f>SUM(G19,J19,I20,)</f>
        <v>#N/A</v>
      </c>
      <c r="H22" s="43" t="e">
        <f>SUM(G19,H20,I19,K9,,)</f>
        <v>#N/A</v>
      </c>
      <c r="I22" s="43" t="e">
        <f>SUM(H19,I20,J19,)</f>
        <v>#N/A</v>
      </c>
    </row>
    <row r="23" spans="1:10" ht="21" thickBot="1" x14ac:dyDescent="0.25">
      <c r="A23" s="137" t="s">
        <v>262</v>
      </c>
      <c r="B23" s="138"/>
      <c r="C23" s="138"/>
      <c r="D23" s="138"/>
      <c r="E23" s="138"/>
      <c r="F23" s="139"/>
      <c r="G23" s="97"/>
      <c r="H23" s="98"/>
      <c r="I23" s="98"/>
    </row>
    <row r="24" spans="1:10" x14ac:dyDescent="0.2">
      <c r="A24" s="194" t="s">
        <v>17</v>
      </c>
      <c r="B24" s="195"/>
      <c r="C24" s="195"/>
      <c r="D24" s="195"/>
      <c r="E24" s="195"/>
      <c r="F24" s="196"/>
    </row>
    <row r="25" spans="1:10" ht="21.6" customHeight="1" x14ac:dyDescent="0.2">
      <c r="A25" s="161" t="s">
        <v>53</v>
      </c>
      <c r="B25" s="162"/>
      <c r="C25" s="162"/>
      <c r="D25" s="162"/>
      <c r="E25" s="162"/>
      <c r="F25" s="163"/>
    </row>
    <row r="26" spans="1:10" ht="15" customHeight="1" x14ac:dyDescent="0.2">
      <c r="A26" s="161" t="s">
        <v>54</v>
      </c>
      <c r="B26" s="162"/>
      <c r="C26" s="162"/>
      <c r="D26" s="162"/>
      <c r="E26" s="162"/>
      <c r="F26" s="163"/>
    </row>
    <row r="27" spans="1:10" x14ac:dyDescent="0.2">
      <c r="A27" s="161" t="s">
        <v>55</v>
      </c>
      <c r="B27" s="162"/>
      <c r="C27" s="162"/>
      <c r="D27" s="162"/>
      <c r="E27" s="162"/>
      <c r="F27" s="163"/>
    </row>
    <row r="28" spans="1:10" x14ac:dyDescent="0.2">
      <c r="A28" s="161" t="s">
        <v>56</v>
      </c>
      <c r="B28" s="162"/>
      <c r="C28" s="162"/>
      <c r="D28" s="162"/>
      <c r="E28" s="162"/>
      <c r="F28" s="163"/>
    </row>
    <row r="29" spans="1:10" x14ac:dyDescent="0.2">
      <c r="A29" s="161" t="s">
        <v>57</v>
      </c>
      <c r="B29" s="162"/>
      <c r="C29" s="162"/>
      <c r="D29" s="162"/>
      <c r="E29" s="162"/>
      <c r="F29" s="163"/>
    </row>
    <row r="30" spans="1:10" x14ac:dyDescent="0.2">
      <c r="A30" s="161" t="s">
        <v>58</v>
      </c>
      <c r="B30" s="162"/>
      <c r="C30" s="162"/>
      <c r="D30" s="162"/>
      <c r="E30" s="162"/>
      <c r="F30" s="163"/>
    </row>
    <row r="31" spans="1:10" x14ac:dyDescent="0.2">
      <c r="A31" s="161"/>
      <c r="B31" s="162"/>
      <c r="C31" s="162"/>
      <c r="D31" s="162"/>
      <c r="E31" s="162"/>
      <c r="F31" s="163"/>
    </row>
    <row r="32" spans="1:10" x14ac:dyDescent="0.2">
      <c r="A32" s="164"/>
      <c r="B32" s="165"/>
      <c r="C32" s="165"/>
      <c r="D32" s="165"/>
      <c r="E32" s="165"/>
      <c r="F32" s="166"/>
    </row>
    <row r="33" spans="1:15" x14ac:dyDescent="0.2">
      <c r="A33" s="170" t="s">
        <v>18</v>
      </c>
      <c r="B33" s="171"/>
      <c r="C33" s="171"/>
      <c r="D33" s="171"/>
      <c r="E33" s="171"/>
      <c r="F33" s="172"/>
    </row>
    <row r="34" spans="1:15" x14ac:dyDescent="0.2">
      <c r="A34" s="161" t="s">
        <v>59</v>
      </c>
      <c r="B34" s="162"/>
      <c r="C34" s="162"/>
      <c r="D34" s="162"/>
      <c r="E34" s="162"/>
      <c r="F34" s="163"/>
    </row>
    <row r="35" spans="1:15" ht="14.1" customHeight="1" x14ac:dyDescent="0.2">
      <c r="A35" s="173" t="s">
        <v>60</v>
      </c>
      <c r="B35" s="174"/>
      <c r="C35" s="174"/>
      <c r="D35" s="174"/>
      <c r="E35" s="174"/>
      <c r="F35" s="175"/>
    </row>
    <row r="36" spans="1:15" x14ac:dyDescent="0.2">
      <c r="A36" s="161" t="s">
        <v>61</v>
      </c>
      <c r="B36" s="162"/>
      <c r="C36" s="162"/>
      <c r="D36" s="162"/>
      <c r="E36" s="162"/>
      <c r="F36" s="163"/>
    </row>
    <row r="37" spans="1:15" x14ac:dyDescent="0.2">
      <c r="A37" s="161" t="s">
        <v>62</v>
      </c>
      <c r="B37" s="162"/>
      <c r="C37" s="162"/>
      <c r="D37" s="162"/>
      <c r="E37" s="162"/>
      <c r="F37" s="163"/>
    </row>
    <row r="38" spans="1:15" x14ac:dyDescent="0.2">
      <c r="A38" s="161" t="s">
        <v>63</v>
      </c>
      <c r="B38" s="162"/>
      <c r="C38" s="162"/>
      <c r="D38" s="162"/>
      <c r="E38" s="162"/>
      <c r="F38" s="163"/>
    </row>
    <row r="39" spans="1:15" x14ac:dyDescent="0.2">
      <c r="A39" s="161" t="s">
        <v>64</v>
      </c>
      <c r="B39" s="162"/>
      <c r="C39" s="162"/>
      <c r="D39" s="162"/>
      <c r="E39" s="162"/>
      <c r="F39" s="163"/>
    </row>
    <row r="40" spans="1:15" x14ac:dyDescent="0.2">
      <c r="A40" s="161" t="s">
        <v>65</v>
      </c>
      <c r="B40" s="162"/>
      <c r="C40" s="162"/>
      <c r="D40" s="162"/>
      <c r="E40" s="162"/>
      <c r="F40" s="163"/>
    </row>
    <row r="41" spans="1:15" s="89" customFormat="1" ht="14.25" x14ac:dyDescent="0.2">
      <c r="A41" s="179" t="s">
        <v>83</v>
      </c>
      <c r="B41" s="180"/>
      <c r="C41" s="180"/>
      <c r="D41" s="180"/>
      <c r="E41" s="180"/>
      <c r="F41" s="181"/>
      <c r="G41" s="90"/>
      <c r="H41" s="90"/>
      <c r="I41" s="90"/>
      <c r="J41" s="90"/>
      <c r="K41" s="90"/>
      <c r="L41" s="90"/>
      <c r="M41" s="90"/>
      <c r="N41" s="90"/>
      <c r="O41" s="90"/>
    </row>
    <row r="42" spans="1:15" s="61" customFormat="1" x14ac:dyDescent="0.2">
      <c r="A42" s="167" t="s">
        <v>82</v>
      </c>
      <c r="B42" s="168"/>
      <c r="C42" s="168"/>
      <c r="D42" s="168"/>
      <c r="E42" s="168"/>
      <c r="F42" s="169"/>
      <c r="G42" s="62"/>
      <c r="H42" s="62"/>
      <c r="I42" s="62"/>
      <c r="J42" s="62"/>
      <c r="K42" s="62"/>
      <c r="L42" s="62"/>
      <c r="M42" s="62"/>
      <c r="N42" s="62"/>
      <c r="O42" s="62"/>
    </row>
    <row r="43" spans="1:15" s="61" customFormat="1" x14ac:dyDescent="0.2">
      <c r="A43" s="161" t="s">
        <v>146</v>
      </c>
      <c r="B43" s="162"/>
      <c r="C43" s="162"/>
      <c r="D43" s="162"/>
      <c r="E43" s="162"/>
      <c r="F43" s="163"/>
      <c r="G43" s="62"/>
      <c r="H43" s="62"/>
      <c r="I43" s="62"/>
      <c r="J43" s="62"/>
      <c r="K43" s="62"/>
      <c r="L43" s="62"/>
      <c r="M43" s="62"/>
      <c r="N43" s="62"/>
      <c r="O43" s="62"/>
    </row>
    <row r="44" spans="1:15" s="61" customFormat="1" x14ac:dyDescent="0.2">
      <c r="A44" s="161"/>
      <c r="B44" s="162"/>
      <c r="C44" s="162"/>
      <c r="D44" s="162"/>
      <c r="E44" s="162"/>
      <c r="F44" s="163"/>
      <c r="G44" s="62"/>
      <c r="H44" s="62"/>
      <c r="I44" s="62"/>
      <c r="J44" s="62"/>
      <c r="K44" s="62"/>
      <c r="L44" s="62"/>
      <c r="M44" s="62"/>
      <c r="N44" s="62"/>
      <c r="O44" s="62"/>
    </row>
    <row r="45" spans="1:15" x14ac:dyDescent="0.2">
      <c r="A45" s="176" t="s">
        <v>66</v>
      </c>
      <c r="B45" s="177"/>
      <c r="C45" s="177"/>
      <c r="D45" s="177"/>
      <c r="E45" s="177"/>
      <c r="F45" s="178"/>
    </row>
    <row r="46" spans="1:15" x14ac:dyDescent="0.2">
      <c r="A46" s="164" t="s">
        <v>67</v>
      </c>
      <c r="B46" s="165"/>
      <c r="C46" s="165"/>
      <c r="D46" s="165"/>
      <c r="E46" s="165"/>
      <c r="F46" s="166"/>
    </row>
    <row r="47" spans="1:15" x14ac:dyDescent="0.2">
      <c r="A47" s="167" t="s">
        <v>84</v>
      </c>
      <c r="B47" s="168"/>
      <c r="C47" s="168"/>
      <c r="D47" s="168"/>
      <c r="E47" s="168"/>
      <c r="F47" s="169"/>
    </row>
    <row r="48" spans="1:15" x14ac:dyDescent="0.2">
      <c r="A48" s="167" t="s">
        <v>85</v>
      </c>
      <c r="B48" s="168"/>
      <c r="C48" s="168"/>
      <c r="D48" s="168"/>
      <c r="E48" s="168"/>
      <c r="F48" s="169"/>
    </row>
    <row r="49" spans="1:23" ht="15" customHeight="1" x14ac:dyDescent="0.2">
      <c r="A49" s="182" t="s">
        <v>86</v>
      </c>
      <c r="B49" s="183"/>
      <c r="C49" s="183"/>
      <c r="D49" s="183"/>
      <c r="E49" s="183"/>
      <c r="F49" s="184"/>
    </row>
    <row r="50" spans="1:23" x14ac:dyDescent="0.2">
      <c r="A50" s="167" t="s">
        <v>87</v>
      </c>
      <c r="B50" s="168"/>
      <c r="C50" s="168"/>
      <c r="D50" s="168"/>
      <c r="E50" s="168"/>
      <c r="F50" s="169"/>
    </row>
    <row r="51" spans="1:23" x14ac:dyDescent="0.2">
      <c r="A51" s="161"/>
      <c r="B51" s="162"/>
      <c r="C51" s="162"/>
      <c r="D51" s="162"/>
      <c r="E51" s="162"/>
      <c r="F51" s="163"/>
    </row>
    <row r="52" spans="1:23" ht="14.45" customHeight="1" x14ac:dyDescent="0.2">
      <c r="A52" s="173"/>
      <c r="B52" s="174"/>
      <c r="C52" s="174"/>
      <c r="D52" s="174"/>
      <c r="E52" s="174"/>
      <c r="F52" s="175"/>
    </row>
    <row r="53" spans="1:23" ht="15" customHeight="1" x14ac:dyDescent="0.2">
      <c r="A53" s="222" t="s">
        <v>145</v>
      </c>
      <c r="B53" s="223"/>
      <c r="C53" s="223"/>
      <c r="D53" s="223"/>
      <c r="E53" s="223"/>
      <c r="F53" s="224"/>
    </row>
    <row r="54" spans="1:23" s="93" customFormat="1" ht="14.1" customHeight="1" x14ac:dyDescent="0.2">
      <c r="A54" s="228" t="s">
        <v>147</v>
      </c>
      <c r="B54" s="229"/>
      <c r="C54" s="229"/>
      <c r="D54" s="229"/>
      <c r="E54" s="229"/>
      <c r="F54" s="230"/>
      <c r="G54" s="92"/>
      <c r="H54" s="92"/>
      <c r="I54" s="92"/>
      <c r="J54" s="92"/>
      <c r="K54" s="92"/>
      <c r="L54" s="92"/>
      <c r="M54" s="92"/>
      <c r="N54" s="92"/>
      <c r="O54" s="92"/>
      <c r="P54" s="92"/>
      <c r="Q54" s="92"/>
      <c r="R54" s="92"/>
      <c r="S54" s="92"/>
      <c r="T54" s="92"/>
      <c r="U54" s="92"/>
      <c r="V54" s="92"/>
      <c r="W54" s="92"/>
    </row>
    <row r="55" spans="1:23" s="93" customFormat="1" ht="28.5" customHeight="1" x14ac:dyDescent="0.2">
      <c r="A55" s="231"/>
      <c r="B55" s="232"/>
      <c r="C55" s="232"/>
      <c r="D55" s="232"/>
      <c r="E55" s="232"/>
      <c r="F55" s="233"/>
      <c r="G55" s="92"/>
      <c r="H55" s="92"/>
      <c r="I55" s="92"/>
      <c r="J55" s="92"/>
      <c r="K55" s="92"/>
      <c r="L55" s="92"/>
      <c r="M55" s="92"/>
      <c r="N55" s="92"/>
      <c r="O55" s="92"/>
      <c r="P55" s="92"/>
      <c r="Q55" s="92"/>
      <c r="R55" s="92"/>
      <c r="S55" s="92"/>
      <c r="T55" s="92"/>
      <c r="U55" s="92"/>
      <c r="V55" s="92"/>
      <c r="W55" s="92"/>
    </row>
    <row r="56" spans="1:23" ht="15" customHeight="1" x14ac:dyDescent="0.2">
      <c r="A56" s="225" t="s">
        <v>68</v>
      </c>
      <c r="B56" s="226"/>
      <c r="C56" s="226"/>
      <c r="D56" s="226"/>
      <c r="E56" s="226"/>
      <c r="F56" s="227"/>
    </row>
    <row r="57" spans="1:23" ht="15" customHeight="1" x14ac:dyDescent="0.2">
      <c r="A57" s="182" t="s">
        <v>69</v>
      </c>
      <c r="B57" s="183"/>
      <c r="C57" s="183"/>
      <c r="D57" s="183"/>
      <c r="E57" s="183"/>
      <c r="F57" s="184"/>
    </row>
    <row r="58" spans="1:23" ht="15" customHeight="1" x14ac:dyDescent="0.2">
      <c r="A58" s="182" t="s">
        <v>70</v>
      </c>
      <c r="B58" s="183"/>
      <c r="C58" s="183"/>
      <c r="D58" s="183"/>
      <c r="E58" s="183"/>
      <c r="F58" s="184"/>
    </row>
    <row r="59" spans="1:23" ht="15" customHeight="1" x14ac:dyDescent="0.2">
      <c r="A59" s="182" t="s">
        <v>71</v>
      </c>
      <c r="B59" s="183"/>
      <c r="C59" s="183"/>
      <c r="D59" s="183"/>
      <c r="E59" s="183"/>
      <c r="F59" s="184"/>
    </row>
    <row r="60" spans="1:23" ht="15" customHeight="1" x14ac:dyDescent="0.2">
      <c r="A60" s="182" t="s">
        <v>72</v>
      </c>
      <c r="B60" s="183"/>
      <c r="C60" s="183"/>
      <c r="D60" s="183"/>
      <c r="E60" s="183"/>
      <c r="F60" s="184"/>
    </row>
    <row r="61" spans="1:23" ht="15" customHeight="1" x14ac:dyDescent="0.2">
      <c r="A61" s="182" t="s">
        <v>73</v>
      </c>
      <c r="B61" s="183"/>
      <c r="C61" s="183"/>
      <c r="D61" s="183"/>
      <c r="E61" s="183"/>
      <c r="F61" s="184"/>
    </row>
    <row r="62" spans="1:23" ht="14.1" customHeight="1" x14ac:dyDescent="0.2">
      <c r="A62" s="244" t="s">
        <v>74</v>
      </c>
      <c r="B62" s="245"/>
      <c r="C62" s="245"/>
      <c r="D62" s="245"/>
      <c r="E62" s="245"/>
      <c r="F62" s="246"/>
      <c r="G62" s="36"/>
      <c r="H62" s="36"/>
      <c r="I62" s="40"/>
      <c r="J62" s="40"/>
      <c r="K62" s="40"/>
      <c r="L62" s="40"/>
      <c r="M62" s="40"/>
      <c r="N62" s="40"/>
    </row>
    <row r="63" spans="1:23" ht="14.1" customHeight="1" x14ac:dyDescent="0.2">
      <c r="A63" s="167" t="s">
        <v>75</v>
      </c>
      <c r="B63" s="168"/>
      <c r="C63" s="168"/>
      <c r="D63" s="168"/>
      <c r="E63" s="168"/>
      <c r="F63" s="169"/>
      <c r="G63" s="36"/>
      <c r="H63" s="36"/>
      <c r="I63" s="36"/>
      <c r="J63" s="36"/>
      <c r="K63" s="36"/>
      <c r="L63" s="36"/>
      <c r="M63" s="36"/>
      <c r="N63" s="36"/>
    </row>
    <row r="64" spans="1:23" x14ac:dyDescent="0.2">
      <c r="A64" s="167" t="s">
        <v>76</v>
      </c>
      <c r="B64" s="168"/>
      <c r="C64" s="168"/>
      <c r="D64" s="168"/>
      <c r="E64" s="168"/>
      <c r="F64" s="169"/>
    </row>
    <row r="65" spans="1:23" x14ac:dyDescent="0.2">
      <c r="A65" s="167" t="s">
        <v>77</v>
      </c>
      <c r="B65" s="168"/>
      <c r="C65" s="168"/>
      <c r="D65" s="168"/>
      <c r="E65" s="168"/>
      <c r="F65" s="169"/>
    </row>
    <row r="66" spans="1:23" x14ac:dyDescent="0.2">
      <c r="A66" s="167" t="s">
        <v>78</v>
      </c>
      <c r="B66" s="168"/>
      <c r="C66" s="168"/>
      <c r="D66" s="168"/>
      <c r="E66" s="168"/>
      <c r="F66" s="169"/>
      <c r="G66" s="37"/>
    </row>
    <row r="67" spans="1:23" s="91" customFormat="1" x14ac:dyDescent="0.2">
      <c r="A67" s="167" t="s">
        <v>79</v>
      </c>
      <c r="B67" s="168"/>
      <c r="C67" s="168"/>
      <c r="D67" s="168"/>
      <c r="E67" s="168"/>
      <c r="F67" s="169"/>
      <c r="G67" s="94"/>
      <c r="H67" s="94"/>
      <c r="I67" s="94"/>
      <c r="J67" s="94"/>
      <c r="K67" s="94"/>
      <c r="L67" s="94"/>
      <c r="M67" s="94"/>
      <c r="N67" s="94"/>
      <c r="O67" s="94"/>
    </row>
    <row r="68" spans="1:23" s="61" customFormat="1" x14ac:dyDescent="0.2">
      <c r="A68" s="247" t="s">
        <v>80</v>
      </c>
      <c r="B68" s="248"/>
      <c r="C68" s="248"/>
      <c r="D68" s="248"/>
      <c r="E68" s="248"/>
      <c r="F68" s="249"/>
      <c r="G68" s="62"/>
    </row>
    <row r="69" spans="1:23" x14ac:dyDescent="0.2">
      <c r="A69" s="155" t="s">
        <v>81</v>
      </c>
      <c r="B69" s="156"/>
      <c r="C69" s="156"/>
      <c r="D69" s="156"/>
      <c r="E69" s="156"/>
      <c r="F69" s="157"/>
    </row>
    <row r="70" spans="1:23" s="95" customFormat="1" ht="14.25" x14ac:dyDescent="0.2">
      <c r="A70" s="143" t="s">
        <v>88</v>
      </c>
      <c r="B70" s="144"/>
      <c r="C70" s="144"/>
      <c r="D70" s="144"/>
      <c r="E70" s="144"/>
      <c r="F70" s="145"/>
      <c r="G70" s="96"/>
      <c r="H70" s="96"/>
      <c r="I70" s="96"/>
      <c r="J70" s="96"/>
      <c r="K70" s="96"/>
      <c r="L70" s="96"/>
      <c r="M70" s="96"/>
      <c r="N70" s="96"/>
      <c r="O70" s="96"/>
    </row>
    <row r="71" spans="1:23" s="88" customFormat="1" ht="13.5" customHeight="1" x14ac:dyDescent="0.2">
      <c r="A71" s="146" t="s">
        <v>148</v>
      </c>
      <c r="B71" s="147"/>
      <c r="C71" s="147"/>
      <c r="D71" s="147"/>
      <c r="E71" s="147"/>
      <c r="F71" s="148"/>
      <c r="G71" s="87"/>
      <c r="H71" s="87"/>
      <c r="I71" s="87"/>
      <c r="J71" s="87"/>
      <c r="K71" s="87"/>
      <c r="L71" s="87"/>
      <c r="M71" s="87"/>
      <c r="N71" s="87"/>
      <c r="O71" s="87"/>
      <c r="P71" s="87"/>
      <c r="Q71" s="87"/>
      <c r="R71" s="87"/>
      <c r="S71" s="87"/>
      <c r="T71" s="87"/>
      <c r="U71" s="87"/>
      <c r="V71" s="87"/>
      <c r="W71" s="87"/>
    </row>
    <row r="72" spans="1:23" s="88" customFormat="1" ht="13.5" customHeight="1" x14ac:dyDescent="0.2">
      <c r="A72" s="158"/>
      <c r="B72" s="159"/>
      <c r="C72" s="159"/>
      <c r="D72" s="159"/>
      <c r="E72" s="159"/>
      <c r="F72" s="160"/>
      <c r="G72" s="87"/>
      <c r="H72" s="87"/>
      <c r="I72" s="87"/>
      <c r="J72" s="87"/>
      <c r="K72" s="87"/>
      <c r="L72" s="87"/>
      <c r="M72" s="87"/>
      <c r="N72" s="87"/>
      <c r="O72" s="87"/>
      <c r="P72" s="87"/>
      <c r="Q72" s="87"/>
      <c r="R72" s="87"/>
      <c r="S72" s="87"/>
      <c r="T72" s="87"/>
      <c r="U72" s="87"/>
      <c r="V72" s="87"/>
      <c r="W72" s="87"/>
    </row>
    <row r="73" spans="1:23" s="88" customFormat="1" x14ac:dyDescent="0.2">
      <c r="A73" s="158" t="s">
        <v>89</v>
      </c>
      <c r="B73" s="159"/>
      <c r="C73" s="159"/>
      <c r="D73" s="159"/>
      <c r="E73" s="159"/>
      <c r="F73" s="160"/>
      <c r="G73" s="87"/>
      <c r="H73" s="87"/>
      <c r="I73" s="87"/>
      <c r="J73" s="87"/>
      <c r="K73" s="87"/>
      <c r="L73" s="87"/>
      <c r="M73" s="87"/>
      <c r="N73" s="87"/>
      <c r="O73" s="87"/>
    </row>
    <row r="74" spans="1:23" s="95" customFormat="1" ht="14.25" x14ac:dyDescent="0.2">
      <c r="A74" s="143"/>
      <c r="B74" s="144"/>
      <c r="C74" s="144"/>
      <c r="D74" s="144"/>
      <c r="E74" s="144"/>
      <c r="F74" s="145"/>
      <c r="G74" s="96"/>
      <c r="H74" s="96"/>
      <c r="I74" s="96"/>
      <c r="J74" s="96"/>
      <c r="K74" s="96"/>
      <c r="L74" s="96"/>
      <c r="M74" s="96"/>
      <c r="N74" s="96"/>
      <c r="O74" s="96"/>
    </row>
    <row r="75" spans="1:23" s="95" customFormat="1" ht="14.25" x14ac:dyDescent="0.2">
      <c r="A75" s="143"/>
      <c r="B75" s="144"/>
      <c r="C75" s="144"/>
      <c r="D75" s="144"/>
      <c r="E75" s="144"/>
      <c r="F75" s="145"/>
      <c r="G75" s="96"/>
      <c r="H75" s="96"/>
      <c r="I75" s="96"/>
      <c r="J75" s="96"/>
      <c r="K75" s="96"/>
      <c r="L75" s="96"/>
      <c r="M75" s="96"/>
      <c r="N75" s="96"/>
      <c r="O75" s="96"/>
    </row>
    <row r="76" spans="1:23" s="95" customFormat="1" ht="14.25" x14ac:dyDescent="0.2">
      <c r="A76" s="155" t="s">
        <v>90</v>
      </c>
      <c r="B76" s="156"/>
      <c r="C76" s="156"/>
      <c r="D76" s="156"/>
      <c r="E76" s="156"/>
      <c r="F76" s="157"/>
      <c r="G76" s="96"/>
      <c r="H76" s="96"/>
      <c r="I76" s="96"/>
      <c r="J76" s="96"/>
      <c r="K76" s="96"/>
      <c r="L76" s="96"/>
      <c r="M76" s="96"/>
      <c r="N76" s="96"/>
      <c r="O76" s="96"/>
    </row>
    <row r="77" spans="1:23" s="88" customFormat="1" x14ac:dyDescent="0.2">
      <c r="A77" s="158" t="s">
        <v>91</v>
      </c>
      <c r="B77" s="159"/>
      <c r="C77" s="159"/>
      <c r="D77" s="159"/>
      <c r="E77" s="159"/>
      <c r="F77" s="160"/>
      <c r="G77" s="87"/>
      <c r="H77" s="87"/>
      <c r="I77" s="87"/>
      <c r="J77" s="87"/>
      <c r="K77" s="87"/>
      <c r="L77" s="87"/>
      <c r="M77" s="87"/>
      <c r="N77" s="87"/>
      <c r="O77" s="87"/>
    </row>
    <row r="78" spans="1:23" s="95" customFormat="1" ht="14.25" x14ac:dyDescent="0.2">
      <c r="A78" s="152" t="s">
        <v>92</v>
      </c>
      <c r="B78" s="153"/>
      <c r="C78" s="153"/>
      <c r="D78" s="153"/>
      <c r="E78" s="153"/>
      <c r="F78" s="154"/>
      <c r="G78" s="96"/>
      <c r="H78" s="96"/>
      <c r="I78" s="96"/>
      <c r="J78" s="96"/>
      <c r="K78" s="96"/>
      <c r="L78" s="96"/>
      <c r="M78" s="96"/>
      <c r="N78" s="96"/>
      <c r="O78" s="96"/>
    </row>
    <row r="79" spans="1:23" s="95" customFormat="1" ht="14.25" x14ac:dyDescent="0.2">
      <c r="A79" s="152" t="s">
        <v>93</v>
      </c>
      <c r="B79" s="153"/>
      <c r="C79" s="153"/>
      <c r="D79" s="153"/>
      <c r="E79" s="153"/>
      <c r="F79" s="154"/>
      <c r="G79" s="96"/>
      <c r="H79" s="96"/>
      <c r="I79" s="96"/>
      <c r="J79" s="96"/>
      <c r="K79" s="96"/>
      <c r="L79" s="96"/>
      <c r="M79" s="96"/>
      <c r="N79" s="96"/>
      <c r="O79" s="96"/>
    </row>
    <row r="80" spans="1:23" s="95" customFormat="1" ht="14.25" x14ac:dyDescent="0.2">
      <c r="A80" s="152" t="s">
        <v>94</v>
      </c>
      <c r="B80" s="153"/>
      <c r="C80" s="153"/>
      <c r="D80" s="153"/>
      <c r="E80" s="153"/>
      <c r="F80" s="154"/>
      <c r="G80" s="96"/>
      <c r="H80" s="96"/>
      <c r="I80" s="96"/>
      <c r="J80" s="96"/>
      <c r="K80" s="96"/>
      <c r="L80" s="96"/>
      <c r="M80" s="96"/>
      <c r="N80" s="96"/>
      <c r="O80" s="96"/>
    </row>
    <row r="81" spans="1:15" s="95" customFormat="1" ht="14.25" x14ac:dyDescent="0.2">
      <c r="A81" s="152" t="s">
        <v>95</v>
      </c>
      <c r="B81" s="153"/>
      <c r="C81" s="153"/>
      <c r="D81" s="153"/>
      <c r="E81" s="153"/>
      <c r="F81" s="154"/>
      <c r="G81" s="96"/>
      <c r="H81" s="96"/>
      <c r="I81" s="96"/>
      <c r="J81" s="96"/>
      <c r="K81" s="96"/>
      <c r="L81" s="96"/>
      <c r="M81" s="96"/>
      <c r="N81" s="96"/>
      <c r="O81" s="96"/>
    </row>
    <row r="82" spans="1:15" s="95" customFormat="1" ht="14.25" x14ac:dyDescent="0.2">
      <c r="A82" s="152" t="s">
        <v>96</v>
      </c>
      <c r="B82" s="153"/>
      <c r="C82" s="153"/>
      <c r="D82" s="153"/>
      <c r="E82" s="153"/>
      <c r="F82" s="154"/>
      <c r="G82" s="96"/>
      <c r="H82" s="96"/>
      <c r="I82" s="96"/>
      <c r="J82" s="96"/>
      <c r="K82" s="96"/>
      <c r="L82" s="96"/>
      <c r="M82" s="96"/>
      <c r="N82" s="96"/>
      <c r="O82" s="96"/>
    </row>
    <row r="83" spans="1:15" s="95" customFormat="1" ht="14.25" x14ac:dyDescent="0.2">
      <c r="A83" s="143"/>
      <c r="B83" s="144"/>
      <c r="C83" s="144"/>
      <c r="D83" s="144"/>
      <c r="E83" s="144"/>
      <c r="F83" s="145"/>
      <c r="G83" s="96"/>
      <c r="H83" s="96"/>
      <c r="I83" s="96"/>
      <c r="J83" s="96"/>
      <c r="K83" s="96"/>
      <c r="L83" s="96"/>
      <c r="M83" s="96"/>
      <c r="N83" s="96"/>
      <c r="O83" s="96"/>
    </row>
    <row r="84" spans="1:15" s="95" customFormat="1" ht="14.25" x14ac:dyDescent="0.2">
      <c r="A84" s="143"/>
      <c r="B84" s="144"/>
      <c r="C84" s="144"/>
      <c r="D84" s="144"/>
      <c r="E84" s="144"/>
      <c r="F84" s="145"/>
      <c r="G84" s="96"/>
      <c r="H84" s="96"/>
      <c r="I84" s="96"/>
      <c r="J84" s="96"/>
      <c r="K84" s="96"/>
      <c r="L84" s="96"/>
      <c r="M84" s="96"/>
      <c r="N84" s="96"/>
      <c r="O84" s="96"/>
    </row>
    <row r="85" spans="1:15" s="95" customFormat="1" ht="14.25" x14ac:dyDescent="0.2">
      <c r="A85" s="155" t="s">
        <v>97</v>
      </c>
      <c r="B85" s="156"/>
      <c r="C85" s="156"/>
      <c r="D85" s="156"/>
      <c r="E85" s="156"/>
      <c r="F85" s="157"/>
      <c r="G85" s="96"/>
      <c r="H85" s="96"/>
      <c r="I85" s="96"/>
      <c r="J85" s="96"/>
      <c r="K85" s="96"/>
      <c r="L85" s="96"/>
      <c r="M85" s="96"/>
      <c r="N85" s="96"/>
      <c r="O85" s="96"/>
    </row>
    <row r="86" spans="1:15" s="95" customFormat="1" ht="35.1" customHeight="1" x14ac:dyDescent="0.2">
      <c r="A86" s="146" t="s">
        <v>98</v>
      </c>
      <c r="B86" s="147"/>
      <c r="C86" s="147"/>
      <c r="D86" s="147"/>
      <c r="E86" s="147"/>
      <c r="F86" s="148"/>
      <c r="G86" s="96"/>
      <c r="H86" s="96"/>
      <c r="I86" s="96"/>
      <c r="J86" s="96"/>
      <c r="K86" s="96"/>
      <c r="L86" s="96"/>
      <c r="M86" s="96"/>
      <c r="N86" s="96"/>
      <c r="O86" s="96"/>
    </row>
    <row r="87" spans="1:15" s="95" customFormat="1" thickBot="1" x14ac:dyDescent="0.25">
      <c r="A87" s="143"/>
      <c r="B87" s="144"/>
      <c r="C87" s="144"/>
      <c r="D87" s="144"/>
      <c r="E87" s="144"/>
      <c r="F87" s="145"/>
      <c r="G87" s="96"/>
      <c r="H87" s="96"/>
      <c r="I87" s="96"/>
      <c r="J87" s="96"/>
      <c r="K87" s="96"/>
      <c r="L87" s="96"/>
      <c r="M87" s="96"/>
      <c r="N87" s="96"/>
      <c r="O87" s="96"/>
    </row>
    <row r="88" spans="1:15" s="95" customFormat="1" ht="296.25" customHeight="1" thickBot="1" x14ac:dyDescent="0.25">
      <c r="A88" s="149" t="s">
        <v>261</v>
      </c>
      <c r="B88" s="150"/>
      <c r="C88" s="150"/>
      <c r="D88" s="150"/>
      <c r="E88" s="150"/>
      <c r="F88" s="151"/>
      <c r="G88" s="96"/>
      <c r="H88" s="96"/>
      <c r="I88" s="96"/>
      <c r="J88" s="96"/>
      <c r="K88" s="96"/>
      <c r="L88" s="96"/>
      <c r="M88" s="96"/>
      <c r="N88" s="96"/>
      <c r="O88" s="96"/>
    </row>
    <row r="89" spans="1:15" s="86" customFormat="1" thickBot="1" x14ac:dyDescent="0.25">
      <c r="A89" s="143"/>
      <c r="B89" s="144"/>
      <c r="C89" s="144"/>
      <c r="D89" s="144"/>
      <c r="E89" s="144"/>
      <c r="F89" s="145"/>
    </row>
    <row r="90" spans="1:15" s="86" customFormat="1" ht="239.25" customHeight="1" thickBot="1" x14ac:dyDescent="0.25">
      <c r="A90" s="140" t="s">
        <v>263</v>
      </c>
      <c r="B90" s="141"/>
      <c r="C90" s="141"/>
      <c r="D90" s="141"/>
      <c r="E90" s="141"/>
      <c r="F90" s="142"/>
    </row>
    <row r="91" spans="1:15" s="86" customFormat="1" ht="14.25" x14ac:dyDescent="0.2">
      <c r="A91" s="143"/>
      <c r="B91" s="144"/>
      <c r="C91" s="144"/>
      <c r="D91" s="144"/>
      <c r="E91" s="144"/>
      <c r="F91" s="145"/>
    </row>
    <row r="92" spans="1:15" s="86" customFormat="1" thickBot="1" x14ac:dyDescent="0.25">
      <c r="A92" s="121"/>
      <c r="B92" s="122"/>
      <c r="C92" s="122"/>
      <c r="D92" s="122"/>
      <c r="E92" s="122"/>
      <c r="F92" s="123"/>
    </row>
    <row r="93" spans="1:15" s="86" customFormat="1" thickBot="1" x14ac:dyDescent="0.25">
      <c r="A93" s="124"/>
      <c r="B93" s="124"/>
      <c r="C93" s="124"/>
      <c r="D93" s="124"/>
      <c r="E93" s="124"/>
      <c r="F93" s="124"/>
    </row>
    <row r="94" spans="1:15" s="86" customFormat="1" ht="19.5" thickBot="1" x14ac:dyDescent="0.25">
      <c r="A94" s="125" t="s">
        <v>264</v>
      </c>
      <c r="B94" s="126"/>
      <c r="C94" s="126"/>
      <c r="D94" s="126"/>
      <c r="E94" s="126"/>
      <c r="F94" s="127"/>
    </row>
    <row r="95" spans="1:15" s="86" customFormat="1" ht="14.25" x14ac:dyDescent="0.2">
      <c r="A95" s="128"/>
      <c r="B95" s="129"/>
      <c r="C95" s="129"/>
      <c r="D95" s="129"/>
      <c r="E95" s="129"/>
      <c r="F95" s="130"/>
    </row>
    <row r="96" spans="1:15" s="86" customFormat="1" x14ac:dyDescent="0.2">
      <c r="A96" s="131" t="s">
        <v>265</v>
      </c>
      <c r="B96" s="132"/>
      <c r="C96" s="132"/>
      <c r="D96" s="132"/>
      <c r="E96" s="132"/>
      <c r="F96" s="133"/>
    </row>
    <row r="97" spans="1:6" s="86" customFormat="1" ht="14.25" x14ac:dyDescent="0.2">
      <c r="A97" s="134" t="s">
        <v>266</v>
      </c>
      <c r="B97" s="135"/>
      <c r="C97" s="135"/>
      <c r="D97" s="135"/>
      <c r="E97" s="135"/>
      <c r="F97" s="136"/>
    </row>
    <row r="98" spans="1:6" s="86" customFormat="1" x14ac:dyDescent="0.2">
      <c r="A98" s="118" t="s">
        <v>267</v>
      </c>
      <c r="B98" s="119"/>
      <c r="C98" s="119"/>
      <c r="D98" s="119"/>
      <c r="E98" s="119"/>
      <c r="F98" s="120"/>
    </row>
    <row r="99" spans="1:6" s="86" customFormat="1" x14ac:dyDescent="0.2">
      <c r="A99" s="118" t="s">
        <v>268</v>
      </c>
      <c r="B99" s="119"/>
      <c r="C99" s="119"/>
      <c r="D99" s="119"/>
      <c r="E99" s="119"/>
      <c r="F99" s="120"/>
    </row>
    <row r="100" spans="1:6" s="86" customFormat="1" x14ac:dyDescent="0.2">
      <c r="A100" s="118" t="s">
        <v>269</v>
      </c>
      <c r="B100" s="119"/>
      <c r="C100" s="119"/>
      <c r="D100" s="119"/>
      <c r="E100" s="119"/>
      <c r="F100" s="120"/>
    </row>
    <row r="101" spans="1:6" s="86" customFormat="1" x14ac:dyDescent="0.2">
      <c r="A101" s="118"/>
      <c r="B101" s="119"/>
      <c r="C101" s="119"/>
      <c r="D101" s="119"/>
      <c r="E101" s="119"/>
      <c r="F101" s="120"/>
    </row>
    <row r="102" spans="1:6" s="86" customFormat="1" x14ac:dyDescent="0.2">
      <c r="A102" s="131" t="s">
        <v>270</v>
      </c>
      <c r="B102" s="132"/>
      <c r="C102" s="132"/>
      <c r="D102" s="132"/>
      <c r="E102" s="132"/>
      <c r="F102" s="133"/>
    </row>
    <row r="103" spans="1:6" s="86" customFormat="1" x14ac:dyDescent="0.2">
      <c r="A103" s="118" t="s">
        <v>271</v>
      </c>
      <c r="B103" s="119"/>
      <c r="C103" s="119"/>
      <c r="D103" s="119"/>
      <c r="E103" s="119"/>
      <c r="F103" s="120"/>
    </row>
    <row r="104" spans="1:6" s="86" customFormat="1" x14ac:dyDescent="0.2">
      <c r="A104" s="118" t="s">
        <v>272</v>
      </c>
      <c r="B104" s="119"/>
      <c r="C104" s="119"/>
      <c r="D104" s="119"/>
      <c r="E104" s="119"/>
      <c r="F104" s="120"/>
    </row>
    <row r="105" spans="1:6" s="86" customFormat="1" x14ac:dyDescent="0.2">
      <c r="A105" s="118" t="s">
        <v>273</v>
      </c>
      <c r="B105" s="119"/>
      <c r="C105" s="119"/>
      <c r="D105" s="119"/>
      <c r="E105" s="119"/>
      <c r="F105" s="120"/>
    </row>
    <row r="106" spans="1:6" s="86" customFormat="1" x14ac:dyDescent="0.2">
      <c r="A106" s="118" t="s">
        <v>274</v>
      </c>
      <c r="B106" s="119"/>
      <c r="C106" s="119"/>
      <c r="D106" s="119"/>
      <c r="E106" s="119"/>
      <c r="F106" s="120"/>
    </row>
    <row r="107" spans="1:6" ht="13.5" customHeight="1" x14ac:dyDescent="0.2">
      <c r="A107" s="118" t="s">
        <v>275</v>
      </c>
      <c r="B107" s="119"/>
      <c r="C107" s="119"/>
      <c r="D107" s="119"/>
      <c r="E107" s="119"/>
      <c r="F107" s="120"/>
    </row>
    <row r="108" spans="1:6" x14ac:dyDescent="0.2">
      <c r="A108" s="118" t="s">
        <v>276</v>
      </c>
      <c r="B108" s="119"/>
      <c r="C108" s="119"/>
      <c r="D108" s="119"/>
      <c r="E108" s="119"/>
      <c r="F108" s="120"/>
    </row>
    <row r="109" spans="1:6" x14ac:dyDescent="0.2">
      <c r="A109" s="118" t="s">
        <v>277</v>
      </c>
      <c r="B109" s="119"/>
      <c r="C109" s="119"/>
      <c r="D109" s="119"/>
      <c r="E109" s="119"/>
      <c r="F109" s="120"/>
    </row>
    <row r="110" spans="1:6" x14ac:dyDescent="0.2">
      <c r="A110" s="118"/>
      <c r="B110" s="119"/>
      <c r="C110" s="119"/>
      <c r="D110" s="119"/>
      <c r="E110" s="119"/>
      <c r="F110" s="120"/>
    </row>
    <row r="111" spans="1:6" x14ac:dyDescent="0.2">
      <c r="A111" s="131" t="s">
        <v>278</v>
      </c>
      <c r="B111" s="132"/>
      <c r="C111" s="132"/>
      <c r="D111" s="132"/>
      <c r="E111" s="132"/>
      <c r="F111" s="133"/>
    </row>
    <row r="112" spans="1:6" x14ac:dyDescent="0.2">
      <c r="A112" s="118" t="s">
        <v>279</v>
      </c>
      <c r="B112" s="119"/>
      <c r="C112" s="119"/>
      <c r="D112" s="119"/>
      <c r="E112" s="119"/>
      <c r="F112" s="120"/>
    </row>
    <row r="113" spans="1:6" x14ac:dyDescent="0.2">
      <c r="A113" s="118" t="s">
        <v>280</v>
      </c>
      <c r="B113" s="119"/>
      <c r="C113" s="119"/>
      <c r="D113" s="119"/>
      <c r="E113" s="119"/>
      <c r="F113" s="120"/>
    </row>
    <row r="114" spans="1:6" x14ac:dyDescent="0.2">
      <c r="A114" s="118" t="s">
        <v>281</v>
      </c>
      <c r="B114" s="119"/>
      <c r="C114" s="119"/>
      <c r="D114" s="119"/>
      <c r="E114" s="119"/>
      <c r="F114" s="120"/>
    </row>
    <row r="115" spans="1:6" x14ac:dyDescent="0.2">
      <c r="A115" s="118" t="s">
        <v>282</v>
      </c>
      <c r="B115" s="119"/>
      <c r="C115" s="119"/>
      <c r="D115" s="119"/>
      <c r="E115" s="119"/>
      <c r="F115" s="120"/>
    </row>
    <row r="116" spans="1:6" x14ac:dyDescent="0.2">
      <c r="A116" s="118" t="s">
        <v>283</v>
      </c>
      <c r="B116" s="119"/>
      <c r="C116" s="119"/>
      <c r="D116" s="119"/>
      <c r="E116" s="119"/>
      <c r="F116" s="120"/>
    </row>
    <row r="117" spans="1:6" x14ac:dyDescent="0.2">
      <c r="A117" s="118" t="s">
        <v>284</v>
      </c>
      <c r="B117" s="119"/>
      <c r="C117" s="119"/>
      <c r="D117" s="119"/>
      <c r="E117" s="119"/>
      <c r="F117" s="120"/>
    </row>
    <row r="118" spans="1:6" x14ac:dyDescent="0.2">
      <c r="A118" s="118" t="s">
        <v>285</v>
      </c>
      <c r="B118" s="119"/>
      <c r="C118" s="119"/>
      <c r="D118" s="119"/>
      <c r="E118" s="119"/>
      <c r="F118" s="120"/>
    </row>
    <row r="119" spans="1:6" x14ac:dyDescent="0.2">
      <c r="A119" s="118" t="s">
        <v>286</v>
      </c>
      <c r="B119" s="119"/>
      <c r="C119" s="119"/>
      <c r="D119" s="119"/>
      <c r="E119" s="119"/>
      <c r="F119" s="120"/>
    </row>
    <row r="120" spans="1:6" x14ac:dyDescent="0.2">
      <c r="A120" s="118" t="s">
        <v>287</v>
      </c>
      <c r="B120" s="119"/>
      <c r="C120" s="119"/>
      <c r="D120" s="119"/>
      <c r="E120" s="119"/>
      <c r="F120" s="120"/>
    </row>
    <row r="121" spans="1:6" x14ac:dyDescent="0.2">
      <c r="A121" s="118" t="s">
        <v>288</v>
      </c>
      <c r="B121" s="119"/>
      <c r="C121" s="119"/>
      <c r="D121" s="119"/>
      <c r="E121" s="119"/>
      <c r="F121" s="120"/>
    </row>
    <row r="122" spans="1:6" x14ac:dyDescent="0.2">
      <c r="A122" s="118" t="s">
        <v>289</v>
      </c>
      <c r="B122" s="119"/>
      <c r="C122" s="119"/>
      <c r="D122" s="119"/>
      <c r="E122" s="119"/>
      <c r="F122" s="120"/>
    </row>
    <row r="123" spans="1:6" x14ac:dyDescent="0.2">
      <c r="A123" s="118"/>
      <c r="B123" s="119"/>
      <c r="C123" s="119"/>
      <c r="D123" s="119"/>
      <c r="E123" s="119"/>
      <c r="F123" s="120"/>
    </row>
    <row r="124" spans="1:6" x14ac:dyDescent="0.2">
      <c r="A124" s="131" t="s">
        <v>290</v>
      </c>
      <c r="B124" s="132"/>
      <c r="C124" s="132"/>
      <c r="D124" s="132"/>
      <c r="E124" s="132"/>
      <c r="F124" s="133"/>
    </row>
    <row r="125" spans="1:6" x14ac:dyDescent="0.2">
      <c r="A125" s="118" t="s">
        <v>279</v>
      </c>
      <c r="B125" s="119"/>
      <c r="C125" s="119"/>
      <c r="D125" s="119"/>
      <c r="E125" s="119"/>
      <c r="F125" s="120"/>
    </row>
    <row r="126" spans="1:6" x14ac:dyDescent="0.2">
      <c r="A126" s="118" t="s">
        <v>291</v>
      </c>
      <c r="B126" s="119"/>
      <c r="C126" s="119"/>
      <c r="D126" s="119"/>
      <c r="E126" s="119"/>
      <c r="F126" s="120"/>
    </row>
    <row r="127" spans="1:6" x14ac:dyDescent="0.2">
      <c r="A127" s="118" t="s">
        <v>292</v>
      </c>
      <c r="B127" s="119"/>
      <c r="C127" s="119"/>
      <c r="D127" s="119"/>
      <c r="E127" s="119"/>
      <c r="F127" s="120"/>
    </row>
    <row r="128" spans="1:6" x14ac:dyDescent="0.2">
      <c r="A128" s="118" t="s">
        <v>293</v>
      </c>
      <c r="B128" s="119"/>
      <c r="C128" s="119"/>
      <c r="D128" s="119"/>
      <c r="E128" s="119"/>
      <c r="F128" s="120"/>
    </row>
    <row r="129" spans="1:6" x14ac:dyDescent="0.2">
      <c r="A129" s="118" t="s">
        <v>294</v>
      </c>
      <c r="B129" s="119"/>
      <c r="C129" s="119"/>
      <c r="D129" s="119"/>
      <c r="E129" s="119"/>
      <c r="F129" s="120"/>
    </row>
    <row r="130" spans="1:6" x14ac:dyDescent="0.2">
      <c r="A130" s="118" t="s">
        <v>295</v>
      </c>
      <c r="B130" s="119"/>
      <c r="C130" s="119"/>
      <c r="D130" s="119"/>
      <c r="E130" s="119"/>
      <c r="F130" s="120"/>
    </row>
    <row r="131" spans="1:6" x14ac:dyDescent="0.2">
      <c r="A131" s="118" t="s">
        <v>296</v>
      </c>
      <c r="B131" s="119"/>
      <c r="C131" s="119"/>
      <c r="D131" s="119"/>
      <c r="E131" s="119"/>
      <c r="F131" s="120"/>
    </row>
    <row r="132" spans="1:6" x14ac:dyDescent="0.2">
      <c r="A132" s="118" t="s">
        <v>297</v>
      </c>
      <c r="B132" s="119"/>
      <c r="C132" s="119"/>
      <c r="D132" s="119"/>
      <c r="E132" s="119"/>
      <c r="F132" s="120"/>
    </row>
    <row r="133" spans="1:6" x14ac:dyDescent="0.2">
      <c r="A133" s="118" t="s">
        <v>298</v>
      </c>
      <c r="B133" s="119"/>
      <c r="C133" s="119"/>
      <c r="D133" s="119"/>
      <c r="E133" s="119"/>
      <c r="F133" s="120"/>
    </row>
    <row r="134" spans="1:6" x14ac:dyDescent="0.2">
      <c r="A134" s="118" t="s">
        <v>299</v>
      </c>
      <c r="B134" s="119"/>
      <c r="C134" s="119"/>
      <c r="D134" s="119"/>
      <c r="E134" s="119"/>
      <c r="F134" s="120"/>
    </row>
    <row r="135" spans="1:6" x14ac:dyDescent="0.2">
      <c r="A135" s="118" t="s">
        <v>300</v>
      </c>
      <c r="B135" s="119"/>
      <c r="C135" s="119"/>
      <c r="D135" s="119"/>
      <c r="E135" s="119"/>
      <c r="F135" s="120"/>
    </row>
    <row r="136" spans="1:6" x14ac:dyDescent="0.2">
      <c r="A136" s="118" t="s">
        <v>301</v>
      </c>
      <c r="B136" s="119"/>
      <c r="C136" s="119"/>
      <c r="D136" s="119"/>
      <c r="E136" s="119"/>
      <c r="F136" s="120"/>
    </row>
    <row r="137" spans="1:6" x14ac:dyDescent="0.2">
      <c r="A137" s="118" t="s">
        <v>302</v>
      </c>
      <c r="B137" s="119"/>
      <c r="C137" s="119"/>
      <c r="D137" s="119"/>
      <c r="E137" s="119"/>
      <c r="F137" s="120"/>
    </row>
    <row r="138" spans="1:6" x14ac:dyDescent="0.2">
      <c r="A138" s="118"/>
      <c r="B138" s="119"/>
      <c r="C138" s="119"/>
      <c r="D138" s="119"/>
      <c r="E138" s="119"/>
      <c r="F138" s="120"/>
    </row>
    <row r="139" spans="1:6" x14ac:dyDescent="0.2">
      <c r="A139" s="131" t="s">
        <v>303</v>
      </c>
      <c r="B139" s="132"/>
      <c r="C139" s="132"/>
      <c r="D139" s="132"/>
      <c r="E139" s="132"/>
      <c r="F139" s="133"/>
    </row>
    <row r="140" spans="1:6" x14ac:dyDescent="0.2">
      <c r="A140" s="118" t="s">
        <v>279</v>
      </c>
      <c r="B140" s="119"/>
      <c r="C140" s="119"/>
      <c r="D140" s="119"/>
      <c r="E140" s="119"/>
      <c r="F140" s="120"/>
    </row>
    <row r="141" spans="1:6" x14ac:dyDescent="0.2">
      <c r="A141" s="118" t="s">
        <v>304</v>
      </c>
      <c r="B141" s="119"/>
      <c r="C141" s="119"/>
      <c r="D141" s="119"/>
      <c r="E141" s="119"/>
      <c r="F141" s="120"/>
    </row>
    <row r="142" spans="1:6" x14ac:dyDescent="0.2">
      <c r="A142" s="118" t="s">
        <v>305</v>
      </c>
      <c r="B142" s="119"/>
      <c r="C142" s="119"/>
      <c r="D142" s="119"/>
      <c r="E142" s="119"/>
      <c r="F142" s="120"/>
    </row>
    <row r="143" spans="1:6" x14ac:dyDescent="0.2">
      <c r="A143" s="118" t="s">
        <v>306</v>
      </c>
      <c r="B143" s="119"/>
      <c r="C143" s="119"/>
      <c r="D143" s="119"/>
      <c r="E143" s="119"/>
      <c r="F143" s="120"/>
    </row>
    <row r="144" spans="1:6" x14ac:dyDescent="0.2">
      <c r="A144" s="118" t="s">
        <v>307</v>
      </c>
      <c r="B144" s="119"/>
      <c r="C144" s="119"/>
      <c r="D144" s="119"/>
      <c r="E144" s="119"/>
      <c r="F144" s="120"/>
    </row>
    <row r="145" spans="1:6" x14ac:dyDescent="0.2">
      <c r="A145" s="238"/>
      <c r="B145" s="239"/>
      <c r="C145" s="239"/>
      <c r="D145" s="239"/>
      <c r="E145" s="239"/>
      <c r="F145" s="240"/>
    </row>
    <row r="146" spans="1:6" ht="80.25" customHeight="1" thickBot="1" x14ac:dyDescent="0.25">
      <c r="A146" s="241" t="s">
        <v>308</v>
      </c>
      <c r="B146" s="242"/>
      <c r="C146" s="242"/>
      <c r="D146" s="242"/>
      <c r="E146" s="242"/>
      <c r="F146" s="243"/>
    </row>
    <row r="147" spans="1:6" x14ac:dyDescent="0.2">
      <c r="A147" s="234"/>
      <c r="B147" s="234"/>
      <c r="C147" s="234"/>
      <c r="D147" s="234"/>
      <c r="E147" s="234"/>
      <c r="F147" s="234"/>
    </row>
    <row r="148" spans="1:6" x14ac:dyDescent="0.2">
      <c r="A148" s="234"/>
      <c r="B148" s="234"/>
      <c r="C148" s="234"/>
      <c r="D148" s="234"/>
      <c r="E148" s="234"/>
      <c r="F148" s="234"/>
    </row>
    <row r="149" spans="1:6" ht="15.75" thickBot="1" x14ac:dyDescent="0.25">
      <c r="A149" s="234"/>
      <c r="B149" s="234"/>
      <c r="C149" s="234"/>
      <c r="D149" s="234"/>
      <c r="E149" s="234"/>
      <c r="F149" s="234"/>
    </row>
    <row r="150" spans="1:6" ht="27" x14ac:dyDescent="0.2">
      <c r="A150" s="235" t="s">
        <v>310</v>
      </c>
      <c r="B150" s="236"/>
      <c r="C150" s="236"/>
      <c r="D150" s="236"/>
      <c r="E150" s="236"/>
      <c r="F150" s="237"/>
    </row>
    <row r="151" spans="1:6" ht="96.75" customHeight="1" x14ac:dyDescent="0.2">
      <c r="A151" s="103" t="s">
        <v>311</v>
      </c>
      <c r="B151" s="250" t="e">
        <f>VLOOKUP(D10,Sheet3!A:B,2,FALSE)</f>
        <v>#N/A</v>
      </c>
      <c r="C151" s="250"/>
      <c r="D151" s="250"/>
      <c r="E151" s="250"/>
      <c r="F151" s="251"/>
    </row>
    <row r="152" spans="1:6" ht="66.75" customHeight="1" x14ac:dyDescent="0.2">
      <c r="A152" s="103" t="s">
        <v>312</v>
      </c>
      <c r="B152" s="250" t="e">
        <f>VLOOKUP(D11,Sheet3!A:B,2,FALSE)</f>
        <v>#N/A</v>
      </c>
      <c r="C152" s="250"/>
      <c r="D152" s="250"/>
      <c r="E152" s="250"/>
      <c r="F152" s="251"/>
    </row>
    <row r="153" spans="1:6" x14ac:dyDescent="0.2">
      <c r="A153" s="103" t="s">
        <v>313</v>
      </c>
      <c r="B153" s="250" t="str">
        <f>VLOOKUP(D12,Sheet3!A:B,2,FALSE)</f>
        <v xml:space="preserve">• Today after your breakfast our tour guide will pick up you by 9:00AM
• Full day visit to Universal Studios Singapore Including:
- Hollywood Zone, 
- New York Zone, 
- Battle star Galactica, 
- Transformers, 
- Revenge Of the Mummy, 
- The lost World, 
- Shark 4-D Adventure, 
- Madagascar
After your amazing experience of Universal studios you will be dropped off to your hotel by 6:00PM. Then you can relax at your hotel or Rome around your hotel.
</v>
      </c>
      <c r="C153" s="250"/>
      <c r="D153" s="250"/>
      <c r="E153" s="250"/>
      <c r="F153" s="251"/>
    </row>
    <row r="154" spans="1:6" x14ac:dyDescent="0.2">
      <c r="A154" s="103" t="s">
        <v>314</v>
      </c>
      <c r="B154" s="250" t="e">
        <f>VLOOKUP(D13,Sheet3!A:B,2,FALSE)</f>
        <v>#N/A</v>
      </c>
      <c r="C154" s="250"/>
      <c r="D154" s="250"/>
      <c r="E154" s="250"/>
      <c r="F154" s="251"/>
    </row>
    <row r="155" spans="1:6" x14ac:dyDescent="0.2">
      <c r="A155" s="103" t="s">
        <v>315</v>
      </c>
      <c r="B155" s="250">
        <f>VLOOKUP(D14,Sheet3!A:B,2,FALSE)</f>
        <v>0</v>
      </c>
      <c r="C155" s="250"/>
      <c r="D155" s="250"/>
      <c r="E155" s="250"/>
      <c r="F155" s="251"/>
    </row>
    <row r="156" spans="1:6" x14ac:dyDescent="0.2">
      <c r="A156" s="103" t="s">
        <v>316</v>
      </c>
      <c r="B156" s="250">
        <f>VLOOKUP(D15,Sheet3!A:B,2,FALSE)</f>
        <v>0</v>
      </c>
      <c r="C156" s="250"/>
      <c r="D156" s="250"/>
      <c r="E156" s="250"/>
      <c r="F156" s="251"/>
    </row>
    <row r="157" spans="1:6" x14ac:dyDescent="0.2">
      <c r="A157" s="103" t="s">
        <v>317</v>
      </c>
      <c r="B157" s="250">
        <f>VLOOKUP(D16,Sheet3!A:B,2,FALSE)</f>
        <v>0</v>
      </c>
      <c r="C157" s="250"/>
      <c r="D157" s="250"/>
      <c r="E157" s="250"/>
      <c r="F157" s="251"/>
    </row>
    <row r="158" spans="1:6" x14ac:dyDescent="0.2">
      <c r="A158" s="103" t="s">
        <v>318</v>
      </c>
      <c r="B158" s="250">
        <f>VLOOKUP(D17,Sheet3!A:B,2,FALSE)</f>
        <v>0</v>
      </c>
      <c r="C158" s="250"/>
      <c r="D158" s="250"/>
      <c r="E158" s="250"/>
      <c r="F158" s="251"/>
    </row>
    <row r="159" spans="1:6" x14ac:dyDescent="0.2">
      <c r="A159" s="103" t="s">
        <v>319</v>
      </c>
      <c r="B159" s="250" t="e">
        <f>VLOOKUP(D18,Sheet3!A:B,2,FALSE)</f>
        <v>#N/A</v>
      </c>
      <c r="C159" s="250"/>
      <c r="D159" s="250"/>
      <c r="E159" s="250"/>
      <c r="F159" s="251"/>
    </row>
    <row r="160" spans="1:6" x14ac:dyDescent="0.2">
      <c r="A160" s="103" t="s">
        <v>320</v>
      </c>
      <c r="B160" s="250" t="e">
        <f>VLOOKUP(D19,Sheet3!A:B,2,FALSE)</f>
        <v>#N/A</v>
      </c>
      <c r="C160" s="250"/>
      <c r="D160" s="250"/>
      <c r="E160" s="250"/>
      <c r="F160" s="251"/>
    </row>
    <row r="161" spans="1:6" x14ac:dyDescent="0.2">
      <c r="A161" s="103" t="s">
        <v>321</v>
      </c>
      <c r="B161" s="250" t="e">
        <f>VLOOKUP(D20,Sheet3!A:B,2,FALSE)</f>
        <v>#N/A</v>
      </c>
      <c r="C161" s="250"/>
      <c r="D161" s="250"/>
      <c r="E161" s="250"/>
      <c r="F161" s="251"/>
    </row>
    <row r="162" spans="1:6" x14ac:dyDescent="0.2">
      <c r="A162" s="103" t="s">
        <v>322</v>
      </c>
      <c r="B162" s="250" t="e">
        <f>VLOOKUP(D21,Sheet3!A:B,2,FALSE)</f>
        <v>#N/A</v>
      </c>
      <c r="C162" s="250"/>
      <c r="D162" s="250"/>
      <c r="E162" s="250"/>
      <c r="F162" s="251"/>
    </row>
    <row r="163" spans="1:6" x14ac:dyDescent="0.2">
      <c r="A163" s="103" t="s">
        <v>323</v>
      </c>
      <c r="B163" s="250" t="e">
        <f>VLOOKUP(D22,Sheet3!A:B,2,FALSE)</f>
        <v>#N/A</v>
      </c>
      <c r="C163" s="250"/>
      <c r="D163" s="250"/>
      <c r="E163" s="250"/>
      <c r="F163" s="251"/>
    </row>
    <row r="164" spans="1:6" x14ac:dyDescent="0.2">
      <c r="A164" s="103" t="s">
        <v>324</v>
      </c>
      <c r="B164" s="250" t="e">
        <f>VLOOKUP(D23,Sheet3!A:B,2,FALSE)</f>
        <v>#N/A</v>
      </c>
      <c r="C164" s="250"/>
      <c r="D164" s="250"/>
      <c r="E164" s="250"/>
      <c r="F164" s="251"/>
    </row>
    <row r="165" spans="1:6" ht="15.75" thickBot="1" x14ac:dyDescent="0.25">
      <c r="A165" s="104"/>
      <c r="B165" s="105"/>
      <c r="C165" s="105"/>
      <c r="D165" s="105"/>
      <c r="E165" s="105"/>
      <c r="F165" s="106"/>
    </row>
    <row r="166" spans="1:6" x14ac:dyDescent="0.2">
      <c r="A166" s="102"/>
      <c r="B166" s="102"/>
      <c r="C166" s="102"/>
      <c r="D166" s="102"/>
      <c r="E166" s="102"/>
      <c r="F166" s="102"/>
    </row>
    <row r="167" spans="1:6" x14ac:dyDescent="0.2">
      <c r="A167" s="102"/>
      <c r="B167" s="102"/>
      <c r="C167" s="102"/>
      <c r="D167" s="102"/>
      <c r="E167" s="102"/>
      <c r="F167" s="102"/>
    </row>
    <row r="168" spans="1:6" x14ac:dyDescent="0.2">
      <c r="A168" s="102"/>
      <c r="B168" s="102"/>
      <c r="C168" s="102"/>
      <c r="D168" s="102"/>
      <c r="E168" s="102"/>
      <c r="F168" s="102"/>
    </row>
    <row r="169" spans="1:6" x14ac:dyDescent="0.2">
      <c r="A169" s="102"/>
      <c r="B169" s="102"/>
      <c r="C169" s="102"/>
      <c r="D169" s="102"/>
      <c r="E169" s="102"/>
      <c r="F169" s="102"/>
    </row>
    <row r="170" spans="1:6" x14ac:dyDescent="0.2">
      <c r="A170" s="102"/>
      <c r="B170" s="102"/>
      <c r="C170" s="102"/>
      <c r="D170" s="102"/>
      <c r="E170" s="102"/>
      <c r="F170" s="102"/>
    </row>
    <row r="171" spans="1:6" x14ac:dyDescent="0.2">
      <c r="A171" s="234"/>
      <c r="B171" s="234"/>
      <c r="C171" s="234"/>
      <c r="D171" s="234"/>
      <c r="E171" s="234"/>
      <c r="F171" s="234"/>
    </row>
  </sheetData>
  <mergeCells count="166">
    <mergeCell ref="A138:F138"/>
    <mergeCell ref="A139:F139"/>
    <mergeCell ref="A140:F140"/>
    <mergeCell ref="A141:F141"/>
    <mergeCell ref="A142:F142"/>
    <mergeCell ref="A143:F143"/>
    <mergeCell ref="A127:F127"/>
    <mergeCell ref="A128:F128"/>
    <mergeCell ref="A129:F129"/>
    <mergeCell ref="A130:F130"/>
    <mergeCell ref="A131:F131"/>
    <mergeCell ref="A132:F132"/>
    <mergeCell ref="A133:F133"/>
    <mergeCell ref="A134:F134"/>
    <mergeCell ref="A135:F135"/>
    <mergeCell ref="A70:F70"/>
    <mergeCell ref="A71:F71"/>
    <mergeCell ref="A72:F72"/>
    <mergeCell ref="A73:F73"/>
    <mergeCell ref="A74:F74"/>
    <mergeCell ref="A75:F75"/>
    <mergeCell ref="A83:F83"/>
    <mergeCell ref="A171:F171"/>
    <mergeCell ref="B160:F160"/>
    <mergeCell ref="B161:F161"/>
    <mergeCell ref="B162:F162"/>
    <mergeCell ref="B163:F163"/>
    <mergeCell ref="B164:F164"/>
    <mergeCell ref="B151:F151"/>
    <mergeCell ref="B152:F152"/>
    <mergeCell ref="B153:F153"/>
    <mergeCell ref="B154:F154"/>
    <mergeCell ref="B155:F155"/>
    <mergeCell ref="B156:F156"/>
    <mergeCell ref="B157:F157"/>
    <mergeCell ref="B158:F158"/>
    <mergeCell ref="B159:F159"/>
    <mergeCell ref="A136:F136"/>
    <mergeCell ref="A137:F137"/>
    <mergeCell ref="A53:F53"/>
    <mergeCell ref="A58:F58"/>
    <mergeCell ref="A56:F56"/>
    <mergeCell ref="A57:F57"/>
    <mergeCell ref="A54:F54"/>
    <mergeCell ref="A55:F55"/>
    <mergeCell ref="A80:F80"/>
    <mergeCell ref="A149:F149"/>
    <mergeCell ref="A150:F150"/>
    <mergeCell ref="A144:F144"/>
    <mergeCell ref="A145:F145"/>
    <mergeCell ref="A146:F146"/>
    <mergeCell ref="A147:F147"/>
    <mergeCell ref="A148:F148"/>
    <mergeCell ref="A60:F60"/>
    <mergeCell ref="A61:F61"/>
    <mergeCell ref="A62:F62"/>
    <mergeCell ref="A63:F63"/>
    <mergeCell ref="A64:F64"/>
    <mergeCell ref="A65:F65"/>
    <mergeCell ref="A66:F66"/>
    <mergeCell ref="A69:F69"/>
    <mergeCell ref="A67:F67"/>
    <mergeCell ref="A68:F68"/>
    <mergeCell ref="A2:F2"/>
    <mergeCell ref="B3:D3"/>
    <mergeCell ref="E3:F3"/>
    <mergeCell ref="B4:D4"/>
    <mergeCell ref="B5:D5"/>
    <mergeCell ref="E5:F5"/>
    <mergeCell ref="B7:D7"/>
    <mergeCell ref="D17:E17"/>
    <mergeCell ref="A18:F18"/>
    <mergeCell ref="D9:E9"/>
    <mergeCell ref="D10:E10"/>
    <mergeCell ref="D11:E11"/>
    <mergeCell ref="D12:E12"/>
    <mergeCell ref="D14:E14"/>
    <mergeCell ref="D13:E13"/>
    <mergeCell ref="D16:E16"/>
    <mergeCell ref="D15:E15"/>
    <mergeCell ref="B6:D6"/>
    <mergeCell ref="E6:F6"/>
    <mergeCell ref="B8:D8"/>
    <mergeCell ref="A19:F19"/>
    <mergeCell ref="A20:F20"/>
    <mergeCell ref="A21:F21"/>
    <mergeCell ref="A24:F24"/>
    <mergeCell ref="A25:F25"/>
    <mergeCell ref="A31:F31"/>
    <mergeCell ref="A26:F26"/>
    <mergeCell ref="A27:F27"/>
    <mergeCell ref="A28:F28"/>
    <mergeCell ref="A29:F29"/>
    <mergeCell ref="A30:F30"/>
    <mergeCell ref="A39:F39"/>
    <mergeCell ref="A40:F40"/>
    <mergeCell ref="A46:F46"/>
    <mergeCell ref="A47:F47"/>
    <mergeCell ref="A48:F48"/>
    <mergeCell ref="A109:F109"/>
    <mergeCell ref="A110:F110"/>
    <mergeCell ref="A32:F32"/>
    <mergeCell ref="A33:F33"/>
    <mergeCell ref="A34:F34"/>
    <mergeCell ref="A35:F35"/>
    <mergeCell ref="A36:F36"/>
    <mergeCell ref="A84:F84"/>
    <mergeCell ref="A85:F85"/>
    <mergeCell ref="A45:F45"/>
    <mergeCell ref="A41:F41"/>
    <mergeCell ref="A42:F42"/>
    <mergeCell ref="A43:F43"/>
    <mergeCell ref="A44:F44"/>
    <mergeCell ref="A59:F59"/>
    <mergeCell ref="A49:F49"/>
    <mergeCell ref="A50:F50"/>
    <mergeCell ref="A51:F51"/>
    <mergeCell ref="A52:F52"/>
    <mergeCell ref="A113:F113"/>
    <mergeCell ref="A114:F114"/>
    <mergeCell ref="A126:F126"/>
    <mergeCell ref="A23:F23"/>
    <mergeCell ref="A90:F90"/>
    <mergeCell ref="A91:F91"/>
    <mergeCell ref="A122:F122"/>
    <mergeCell ref="A123:F123"/>
    <mergeCell ref="A124:F124"/>
    <mergeCell ref="A125:F125"/>
    <mergeCell ref="A86:F86"/>
    <mergeCell ref="A87:F87"/>
    <mergeCell ref="A88:F88"/>
    <mergeCell ref="A89:F89"/>
    <mergeCell ref="A81:F81"/>
    <mergeCell ref="A82:F82"/>
    <mergeCell ref="A76:F76"/>
    <mergeCell ref="A77:F77"/>
    <mergeCell ref="A78:F78"/>
    <mergeCell ref="A79:F79"/>
    <mergeCell ref="A115:F115"/>
    <mergeCell ref="A116:F116"/>
    <mergeCell ref="A37:F37"/>
    <mergeCell ref="A38:F38"/>
    <mergeCell ref="A117:F117"/>
    <mergeCell ref="A118:F118"/>
    <mergeCell ref="A119:F119"/>
    <mergeCell ref="A120:F120"/>
    <mergeCell ref="A121:F12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11:F111"/>
    <mergeCell ref="A112:F112"/>
  </mergeCells>
  <dataValidations count="3">
    <dataValidation errorStyle="information" allowBlank="1" showInputMessage="1" showErrorMessage="1" sqref="A3 E3:F3 B5:D5"/>
    <dataValidation type="list" errorStyle="information" allowBlank="1" showInputMessage="1" showErrorMessage="1" sqref="A7:A8">
      <formula1>"HANOI, HALONG BAY, HO CHI MINH, DANANG, PHU QUOC, SIEM REAP, PHNOM PENH"</formula1>
    </dataValidation>
    <dataValidation type="list" errorStyle="information" allowBlank="1" showInputMessage="1" showErrorMessage="1" sqref="C10:C17">
      <formula1>#REF!</formula1>
    </dataValidation>
  </dataValidations>
  <hyperlinks>
    <hyperlink ref="A68" r:id="rId1"/>
  </hyperlinks>
  <printOptions horizontalCentered="1"/>
  <pageMargins left="0.7" right="0.7" top="0.75" bottom="0.75" header="0.3" footer="0.3"/>
  <pageSetup paperSize="5" scale="51" orientation="portrait" r:id="rId2"/>
  <headerFooter alignWithMargins="0"/>
  <rowBreaks count="1" manualBreakCount="1">
    <brk id="25" max="16383" man="1"/>
  </rowBreaks>
  <colBreaks count="1" manualBreakCount="1">
    <brk id="14" max="1048575" man="1"/>
  </colBreaks>
  <drawing r:id="rId3"/>
  <extLst>
    <ext xmlns:x14="http://schemas.microsoft.com/office/spreadsheetml/2009/9/main" uri="{CCE6A557-97BC-4b89-ADB6-D9C93CAAB3DF}">
      <x14:dataValidations xmlns:xm="http://schemas.microsoft.com/office/excel/2006/main" count="3">
        <x14:dataValidation type="list" errorStyle="information" allowBlank="1" showInputMessage="1" showErrorMessage="1">
          <x14:formula1>
            <xm:f>Sheet2!$A$2:$A$164</xm:f>
          </x14:formula1>
          <xm:sqref>B7:D8</xm:sqref>
        </x14:dataValidation>
        <x14:dataValidation type="list" errorStyle="information" allowBlank="1" showInputMessage="1" showErrorMessage="1">
          <x14:formula1>
            <xm:f>Sheet1!$G$1:$G$4</xm:f>
          </x14:formula1>
          <xm:sqref>F10:F17</xm:sqref>
        </x14:dataValidation>
        <x14:dataValidation type="list" errorStyle="information" allowBlank="1" showInputMessage="1" showErrorMessage="1">
          <x14:formula1>
            <xm:f>Sheet1!$A$1:$A$109</xm:f>
          </x14:formula1>
          <xm:sqref>D10:E17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
  <sheetViews>
    <sheetView tabSelected="1" zoomScale="120" zoomScaleNormal="120" workbookViewId="0">
      <selection activeCell="B96" sqref="B96"/>
    </sheetView>
  </sheetViews>
  <sheetFormatPr defaultColWidth="9" defaultRowHeight="17.100000000000001" customHeight="1" x14ac:dyDescent="0.2"/>
  <cols>
    <col min="1" max="1" width="147.33203125" bestFit="1" customWidth="1"/>
    <col min="2" max="4" width="9" style="64"/>
    <col min="7" max="7" width="15.6640625" bestFit="1" customWidth="1"/>
    <col min="8" max="8" width="9" style="64"/>
  </cols>
  <sheetData>
    <row r="1" spans="1:8" ht="17.100000000000001" customHeight="1" x14ac:dyDescent="0.2">
      <c r="A1" s="58" t="s">
        <v>139</v>
      </c>
      <c r="D1" s="64">
        <v>35</v>
      </c>
      <c r="G1" t="s">
        <v>156</v>
      </c>
      <c r="H1" s="64">
        <v>17</v>
      </c>
    </row>
    <row r="2" spans="1:8" ht="17.100000000000001" customHeight="1" x14ac:dyDescent="0.2">
      <c r="A2" s="117" t="s">
        <v>339</v>
      </c>
      <c r="D2" s="64">
        <v>35</v>
      </c>
      <c r="G2" t="s">
        <v>157</v>
      </c>
      <c r="H2" s="64">
        <v>17</v>
      </c>
    </row>
    <row r="3" spans="1:8" ht="17.100000000000001" customHeight="1" x14ac:dyDescent="0.2">
      <c r="A3" t="s">
        <v>149</v>
      </c>
      <c r="D3" s="64">
        <v>35</v>
      </c>
      <c r="G3" t="s">
        <v>158</v>
      </c>
      <c r="H3" s="64">
        <v>34</v>
      </c>
    </row>
    <row r="4" spans="1:8" ht="17.100000000000001" customHeight="1" x14ac:dyDescent="0.2">
      <c r="A4" t="s">
        <v>340</v>
      </c>
      <c r="D4" s="64">
        <v>35</v>
      </c>
      <c r="G4" t="s">
        <v>159</v>
      </c>
      <c r="H4" s="64">
        <v>0</v>
      </c>
    </row>
    <row r="5" spans="1:8" ht="17.100000000000001" customHeight="1" x14ac:dyDescent="0.2">
      <c r="A5" t="s">
        <v>151</v>
      </c>
      <c r="D5" s="64">
        <v>35</v>
      </c>
    </row>
    <row r="6" spans="1:8" ht="17.100000000000001" customHeight="1" x14ac:dyDescent="0.2">
      <c r="A6" t="s">
        <v>341</v>
      </c>
      <c r="D6" s="64">
        <v>35</v>
      </c>
    </row>
    <row r="7" spans="1:8" ht="17.100000000000001" customHeight="1" x14ac:dyDescent="0.2">
      <c r="A7" s="117" t="s">
        <v>342</v>
      </c>
      <c r="D7" s="64">
        <v>35</v>
      </c>
    </row>
    <row r="8" spans="1:8" ht="17.100000000000001" customHeight="1" x14ac:dyDescent="0.2">
      <c r="A8" s="117" t="s">
        <v>343</v>
      </c>
      <c r="D8" s="64">
        <v>35</v>
      </c>
    </row>
    <row r="9" spans="1:8" ht="17.100000000000001" customHeight="1" x14ac:dyDescent="0.2">
      <c r="A9" s="65" t="s">
        <v>160</v>
      </c>
      <c r="B9" s="64">
        <v>0</v>
      </c>
      <c r="C9" s="64">
        <v>0</v>
      </c>
      <c r="D9" s="64">
        <v>0</v>
      </c>
    </row>
    <row r="10" spans="1:8" ht="17.100000000000001" customHeight="1" x14ac:dyDescent="0.2">
      <c r="A10" s="65" t="s">
        <v>160</v>
      </c>
      <c r="B10" s="64">
        <v>0</v>
      </c>
      <c r="C10" s="64">
        <v>0</v>
      </c>
      <c r="D10" s="64">
        <v>0</v>
      </c>
    </row>
    <row r="11" spans="1:8" ht="28.5" customHeight="1" x14ac:dyDescent="0.2">
      <c r="A11" s="112" t="s">
        <v>344</v>
      </c>
      <c r="B11" s="64">
        <v>38</v>
      </c>
      <c r="C11" s="64">
        <v>25</v>
      </c>
      <c r="D11" s="64">
        <v>150</v>
      </c>
    </row>
    <row r="12" spans="1:8" ht="25.5" x14ac:dyDescent="0.2">
      <c r="A12" s="111" t="s">
        <v>345</v>
      </c>
      <c r="D12" s="64">
        <v>115</v>
      </c>
    </row>
    <row r="13" spans="1:8" ht="17.100000000000001" customHeight="1" x14ac:dyDescent="0.2">
      <c r="A13" s="108" t="s">
        <v>346</v>
      </c>
      <c r="B13" s="64">
        <v>68</v>
      </c>
      <c r="C13" s="64">
        <v>55</v>
      </c>
      <c r="D13" s="64">
        <v>105</v>
      </c>
    </row>
    <row r="14" spans="1:8" ht="25.5" x14ac:dyDescent="0.2">
      <c r="A14" s="111" t="s">
        <v>347</v>
      </c>
      <c r="D14" s="64">
        <v>80</v>
      </c>
    </row>
    <row r="15" spans="1:8" ht="25.5" x14ac:dyDescent="0.2">
      <c r="A15" s="111" t="s">
        <v>326</v>
      </c>
      <c r="D15" s="64">
        <v>115</v>
      </c>
    </row>
    <row r="16" spans="1:8" ht="17.100000000000001" customHeight="1" x14ac:dyDescent="0.2">
      <c r="A16" s="83" t="s">
        <v>348</v>
      </c>
      <c r="B16" s="82">
        <v>40</v>
      </c>
      <c r="C16" s="64">
        <v>35</v>
      </c>
      <c r="D16" s="64">
        <v>105</v>
      </c>
    </row>
    <row r="17" spans="1:4" ht="17.100000000000001" customHeight="1" x14ac:dyDescent="0.2">
      <c r="A17" s="117" t="s">
        <v>349</v>
      </c>
      <c r="B17" s="64">
        <v>43</v>
      </c>
      <c r="C17" s="64">
        <v>33</v>
      </c>
      <c r="D17" s="64">
        <v>105</v>
      </c>
    </row>
    <row r="18" spans="1:4" ht="17.100000000000001" customHeight="1" x14ac:dyDescent="0.2">
      <c r="A18" s="100" t="s">
        <v>350</v>
      </c>
      <c r="B18" s="64">
        <v>44</v>
      </c>
      <c r="C18" s="64">
        <v>37</v>
      </c>
      <c r="D18" s="64">
        <v>105</v>
      </c>
    </row>
    <row r="19" spans="1:4" ht="17.100000000000001" customHeight="1" x14ac:dyDescent="0.2">
      <c r="A19" s="110" t="s">
        <v>351</v>
      </c>
      <c r="B19" s="64">
        <v>44</v>
      </c>
      <c r="C19" s="64">
        <v>37</v>
      </c>
      <c r="D19" s="64">
        <v>70</v>
      </c>
    </row>
    <row r="20" spans="1:4" ht="17.100000000000001" customHeight="1" x14ac:dyDescent="0.2">
      <c r="A20" s="117" t="s">
        <v>352</v>
      </c>
      <c r="B20" s="64">
        <v>60</v>
      </c>
      <c r="C20" s="64">
        <v>55</v>
      </c>
      <c r="D20" s="64">
        <v>70</v>
      </c>
    </row>
    <row r="21" spans="1:4" ht="37.5" customHeight="1" x14ac:dyDescent="0.2">
      <c r="A21" s="116" t="s">
        <v>353</v>
      </c>
      <c r="B21" s="64">
        <v>60</v>
      </c>
      <c r="C21" s="64">
        <v>60</v>
      </c>
      <c r="D21" s="64">
        <v>150</v>
      </c>
    </row>
    <row r="22" spans="1:4" ht="31.5" customHeight="1" x14ac:dyDescent="0.2">
      <c r="A22" s="85" t="s">
        <v>354</v>
      </c>
      <c r="B22" s="64">
        <v>60</v>
      </c>
      <c r="C22" s="64">
        <v>60</v>
      </c>
      <c r="D22" s="64">
        <v>70</v>
      </c>
    </row>
    <row r="23" spans="1:4" ht="34.5" customHeight="1" x14ac:dyDescent="0.2">
      <c r="A23" s="85" t="s">
        <v>355</v>
      </c>
      <c r="B23" s="64">
        <v>63</v>
      </c>
      <c r="C23" s="64">
        <v>59</v>
      </c>
      <c r="D23" s="64">
        <v>70</v>
      </c>
    </row>
    <row r="24" spans="1:4" ht="17.100000000000001" customHeight="1" x14ac:dyDescent="0.2">
      <c r="A24" s="117" t="s">
        <v>356</v>
      </c>
      <c r="B24" s="82">
        <v>36</v>
      </c>
      <c r="C24" s="64">
        <v>31</v>
      </c>
      <c r="D24" s="64">
        <v>70</v>
      </c>
    </row>
    <row r="25" spans="1:4" ht="17.100000000000001" customHeight="1" x14ac:dyDescent="0.2">
      <c r="A25" s="117" t="s">
        <v>357</v>
      </c>
      <c r="B25" s="82">
        <v>75</v>
      </c>
      <c r="C25" s="64">
        <v>70</v>
      </c>
      <c r="D25" s="64">
        <v>70</v>
      </c>
    </row>
    <row r="26" spans="1:4" ht="38.25" x14ac:dyDescent="0.2">
      <c r="A26" s="107" t="s">
        <v>358</v>
      </c>
      <c r="B26" s="109">
        <v>63</v>
      </c>
      <c r="C26" s="64">
        <v>59</v>
      </c>
      <c r="D26" s="64">
        <v>115</v>
      </c>
    </row>
    <row r="27" spans="1:4" ht="28.5" customHeight="1" x14ac:dyDescent="0.2">
      <c r="A27" s="113" t="s">
        <v>359</v>
      </c>
      <c r="B27" s="99">
        <v>36</v>
      </c>
      <c r="C27" s="64">
        <v>31</v>
      </c>
      <c r="D27" s="64">
        <v>115</v>
      </c>
    </row>
    <row r="28" spans="1:4" ht="25.5" x14ac:dyDescent="0.2">
      <c r="A28" s="111" t="s">
        <v>360</v>
      </c>
      <c r="B28" s="64">
        <v>38</v>
      </c>
      <c r="C28" s="64">
        <v>25</v>
      </c>
      <c r="D28" s="64">
        <v>80</v>
      </c>
    </row>
    <row r="29" spans="1:4" ht="17.100000000000001" customHeight="1" x14ac:dyDescent="0.2">
      <c r="A29" s="108" t="s">
        <v>361</v>
      </c>
      <c r="B29" s="64">
        <v>78</v>
      </c>
      <c r="C29" s="64">
        <v>68</v>
      </c>
      <c r="D29" s="64">
        <v>70</v>
      </c>
    </row>
    <row r="30" spans="1:4" ht="17.100000000000001" customHeight="1" x14ac:dyDescent="0.2">
      <c r="A30" s="100" t="s">
        <v>362</v>
      </c>
      <c r="B30" s="64">
        <v>114</v>
      </c>
      <c r="C30" s="64">
        <v>106</v>
      </c>
      <c r="D30" s="64">
        <v>70</v>
      </c>
    </row>
    <row r="31" spans="1:4" ht="26.25" customHeight="1" x14ac:dyDescent="0.2">
      <c r="A31" s="116" t="s">
        <v>363</v>
      </c>
      <c r="B31" s="64">
        <v>69</v>
      </c>
      <c r="C31" s="64">
        <v>64</v>
      </c>
      <c r="D31" s="64">
        <v>70</v>
      </c>
    </row>
    <row r="32" spans="1:4" ht="17.100000000000001" customHeight="1" x14ac:dyDescent="0.2">
      <c r="A32" s="100" t="s">
        <v>364</v>
      </c>
      <c r="B32" s="64">
        <v>86</v>
      </c>
      <c r="C32" s="82">
        <v>60</v>
      </c>
      <c r="D32" s="64">
        <v>70</v>
      </c>
    </row>
    <row r="33" spans="1:4" ht="30" customHeight="1" x14ac:dyDescent="0.2">
      <c r="A33" s="111" t="s">
        <v>365</v>
      </c>
      <c r="B33" s="64">
        <v>44</v>
      </c>
      <c r="C33" s="64">
        <v>37</v>
      </c>
      <c r="D33" s="64">
        <v>115</v>
      </c>
    </row>
    <row r="34" spans="1:4" ht="17.100000000000001" customHeight="1" x14ac:dyDescent="0.2">
      <c r="A34" s="117" t="s">
        <v>366</v>
      </c>
      <c r="B34" s="82">
        <v>203</v>
      </c>
      <c r="C34" s="82">
        <v>173</v>
      </c>
      <c r="D34" s="64">
        <v>70</v>
      </c>
    </row>
    <row r="35" spans="1:4" ht="17.100000000000001" customHeight="1" x14ac:dyDescent="0.2">
      <c r="A35" s="117" t="s">
        <v>367</v>
      </c>
      <c r="B35" s="82">
        <v>153</v>
      </c>
      <c r="C35" s="82">
        <v>133</v>
      </c>
      <c r="D35" s="64">
        <v>70</v>
      </c>
    </row>
    <row r="36" spans="1:4" ht="17.100000000000001" customHeight="1" x14ac:dyDescent="0.2">
      <c r="A36" s="115" t="s">
        <v>368</v>
      </c>
      <c r="B36" s="64">
        <v>73</v>
      </c>
      <c r="C36" s="82">
        <v>59</v>
      </c>
      <c r="D36" s="64">
        <v>105</v>
      </c>
    </row>
    <row r="37" spans="1:4" ht="25.5" x14ac:dyDescent="0.2">
      <c r="A37" s="111" t="s">
        <v>369</v>
      </c>
      <c r="B37" s="64">
        <v>43</v>
      </c>
      <c r="C37" s="82">
        <v>30</v>
      </c>
      <c r="D37" s="64">
        <v>115</v>
      </c>
    </row>
    <row r="38" spans="1:4" ht="17.100000000000001" customHeight="1" x14ac:dyDescent="0.2">
      <c r="A38" s="110" t="s">
        <v>370</v>
      </c>
      <c r="B38" s="64">
        <v>79</v>
      </c>
      <c r="C38" s="82">
        <v>67</v>
      </c>
      <c r="D38" s="64">
        <v>105</v>
      </c>
    </row>
    <row r="39" spans="1:4" ht="38.25" x14ac:dyDescent="0.2">
      <c r="A39" s="111" t="s">
        <v>371</v>
      </c>
      <c r="B39" s="64">
        <v>70</v>
      </c>
      <c r="C39" s="64">
        <v>59</v>
      </c>
      <c r="D39" s="64">
        <v>175</v>
      </c>
    </row>
    <row r="40" spans="1:4" ht="25.5" customHeight="1" x14ac:dyDescent="0.2">
      <c r="A40" s="116" t="s">
        <v>372</v>
      </c>
      <c r="B40" s="64">
        <v>116</v>
      </c>
      <c r="C40" s="82">
        <v>82</v>
      </c>
      <c r="D40" s="64">
        <v>140</v>
      </c>
    </row>
    <row r="41" spans="1:4" ht="17.100000000000001" customHeight="1" x14ac:dyDescent="0.2">
      <c r="A41" s="110" t="s">
        <v>373</v>
      </c>
      <c r="B41" s="64">
        <v>87</v>
      </c>
      <c r="C41" s="82">
        <v>67</v>
      </c>
      <c r="D41" s="64">
        <v>70</v>
      </c>
    </row>
    <row r="42" spans="1:4" ht="30.75" customHeight="1" x14ac:dyDescent="0.2">
      <c r="A42" s="113" t="s">
        <v>375</v>
      </c>
      <c r="B42" s="82">
        <v>86</v>
      </c>
      <c r="C42" s="82">
        <v>71</v>
      </c>
      <c r="D42" s="64">
        <v>115</v>
      </c>
    </row>
    <row r="43" spans="1:4" ht="17.100000000000001" customHeight="1" x14ac:dyDescent="0.2">
      <c r="A43" s="117" t="s">
        <v>374</v>
      </c>
      <c r="B43" s="82">
        <v>128</v>
      </c>
      <c r="C43" s="82">
        <v>103</v>
      </c>
      <c r="D43" s="64">
        <v>105</v>
      </c>
    </row>
    <row r="44" spans="1:4" ht="17.100000000000001" customHeight="1" x14ac:dyDescent="0.2">
      <c r="A44" s="117" t="s">
        <v>376</v>
      </c>
      <c r="B44" s="64">
        <v>86</v>
      </c>
      <c r="C44" s="82">
        <v>60</v>
      </c>
      <c r="D44" s="64">
        <v>70</v>
      </c>
    </row>
    <row r="45" spans="1:4" ht="17.100000000000001" customHeight="1" x14ac:dyDescent="0.2">
      <c r="A45" s="115" t="s">
        <v>377</v>
      </c>
      <c r="B45" s="64">
        <v>73</v>
      </c>
      <c r="C45" s="64">
        <v>55</v>
      </c>
      <c r="D45" s="64">
        <v>105</v>
      </c>
    </row>
    <row r="46" spans="1:4" ht="17.100000000000001" customHeight="1" x14ac:dyDescent="0.2">
      <c r="A46" s="83" t="s">
        <v>378</v>
      </c>
      <c r="B46" s="64">
        <v>125</v>
      </c>
      <c r="C46" s="64">
        <v>110</v>
      </c>
      <c r="D46" s="64">
        <v>70</v>
      </c>
    </row>
    <row r="47" spans="1:4" ht="17.100000000000001" customHeight="1" x14ac:dyDescent="0.2">
      <c r="A47" s="77" t="s">
        <v>379</v>
      </c>
      <c r="B47" s="64">
        <v>35</v>
      </c>
      <c r="C47" s="64">
        <v>30</v>
      </c>
      <c r="D47" s="64">
        <v>70</v>
      </c>
    </row>
    <row r="48" spans="1:4" ht="17.100000000000001" customHeight="1" x14ac:dyDescent="0.2">
      <c r="A48" s="117" t="s">
        <v>380</v>
      </c>
      <c r="B48" s="82">
        <v>28</v>
      </c>
      <c r="C48" s="82">
        <v>26</v>
      </c>
      <c r="D48" s="64">
        <v>70</v>
      </c>
    </row>
    <row r="49" spans="1:4" ht="17.100000000000001" customHeight="1" x14ac:dyDescent="0.2">
      <c r="A49" s="117" t="s">
        <v>381</v>
      </c>
      <c r="B49" s="64">
        <v>43</v>
      </c>
      <c r="C49" s="82">
        <v>30</v>
      </c>
      <c r="D49" s="64">
        <v>70</v>
      </c>
    </row>
    <row r="50" spans="1:4" ht="17.100000000000001" customHeight="1" x14ac:dyDescent="0.2">
      <c r="A50" s="117" t="s">
        <v>382</v>
      </c>
      <c r="B50" s="64">
        <v>47</v>
      </c>
      <c r="C50" s="64">
        <v>41</v>
      </c>
      <c r="D50" s="64">
        <v>70</v>
      </c>
    </row>
    <row r="51" spans="1:4" ht="17.100000000000001" customHeight="1" x14ac:dyDescent="0.2">
      <c r="A51" s="77" t="s">
        <v>383</v>
      </c>
      <c r="B51" s="64">
        <v>21</v>
      </c>
      <c r="C51" s="64">
        <v>16</v>
      </c>
      <c r="D51" s="64">
        <v>70</v>
      </c>
    </row>
    <row r="52" spans="1:4" ht="28.5" customHeight="1" x14ac:dyDescent="0.2">
      <c r="A52" s="116" t="s">
        <v>384</v>
      </c>
      <c r="B52" s="64">
        <v>64</v>
      </c>
      <c r="C52" s="64">
        <v>59</v>
      </c>
      <c r="D52" s="64">
        <v>70</v>
      </c>
    </row>
    <row r="53" spans="1:4" ht="17.100000000000001" customHeight="1" x14ac:dyDescent="0.2">
      <c r="A53" t="s">
        <v>244</v>
      </c>
    </row>
    <row r="54" spans="1:4" ht="24.75" customHeight="1" x14ac:dyDescent="0.2">
      <c r="A54" s="116" t="s">
        <v>385</v>
      </c>
      <c r="B54" s="64">
        <v>92</v>
      </c>
      <c r="C54" s="64">
        <v>78</v>
      </c>
      <c r="D54" s="64">
        <v>105</v>
      </c>
    </row>
    <row r="60" spans="1:4" ht="17.100000000000001" customHeight="1" x14ac:dyDescent="0.2">
      <c r="A60" t="s">
        <v>253</v>
      </c>
    </row>
    <row r="61" spans="1:4" ht="17.100000000000001" customHeight="1" x14ac:dyDescent="0.2">
      <c r="A61" s="84" t="s">
        <v>252</v>
      </c>
    </row>
    <row r="62" spans="1:4" ht="17.100000000000001" customHeight="1" x14ac:dyDescent="0.2">
      <c r="A62" s="84" t="s">
        <v>260</v>
      </c>
    </row>
    <row r="63" spans="1:4" ht="17.100000000000001" customHeight="1" x14ac:dyDescent="0.2">
      <c r="A63" s="114" t="s">
        <v>337</v>
      </c>
    </row>
    <row r="64" spans="1:4" ht="17.100000000000001" customHeight="1" x14ac:dyDescent="0.2">
      <c r="A64" s="114" t="s">
        <v>333</v>
      </c>
    </row>
    <row r="65" spans="1:1" ht="17.100000000000001" customHeight="1" x14ac:dyDescent="0.2">
      <c r="A65" t="s">
        <v>327</v>
      </c>
    </row>
    <row r="66" spans="1:1" ht="17.100000000000001" customHeight="1" x14ac:dyDescent="0.2">
      <c r="A66" t="s">
        <v>332</v>
      </c>
    </row>
    <row r="67" spans="1:1" ht="17.100000000000001" customHeight="1" x14ac:dyDescent="0.2">
      <c r="A67" t="s">
        <v>245</v>
      </c>
    </row>
    <row r="68" spans="1:1" ht="17.100000000000001" customHeight="1" x14ac:dyDescent="0.2">
      <c r="A68" t="s">
        <v>246</v>
      </c>
    </row>
    <row r="69" spans="1:1" ht="17.100000000000001" customHeight="1" x14ac:dyDescent="0.2">
      <c r="A69" s="114" t="s">
        <v>336</v>
      </c>
    </row>
    <row r="70" spans="1:1" ht="17.100000000000001" customHeight="1" x14ac:dyDescent="0.2">
      <c r="A70" s="114" t="s">
        <v>247</v>
      </c>
    </row>
    <row r="71" spans="1:1" ht="17.100000000000001" customHeight="1" x14ac:dyDescent="0.2">
      <c r="A71" s="114" t="s">
        <v>248</v>
      </c>
    </row>
    <row r="72" spans="1:1" ht="17.100000000000001" customHeight="1" x14ac:dyDescent="0.2">
      <c r="A72" t="s">
        <v>249</v>
      </c>
    </row>
    <row r="73" spans="1:1" ht="17.100000000000001" customHeight="1" x14ac:dyDescent="0.2">
      <c r="A73" s="114" t="s">
        <v>250</v>
      </c>
    </row>
    <row r="74" spans="1:1" ht="17.100000000000001" customHeight="1" x14ac:dyDescent="0.2">
      <c r="A74" t="s">
        <v>251</v>
      </c>
    </row>
    <row r="75" spans="1:1" ht="17.100000000000001" customHeight="1" x14ac:dyDescent="0.2">
      <c r="A75" s="114" t="s">
        <v>335</v>
      </c>
    </row>
    <row r="76" spans="1:1" ht="17.100000000000001" customHeight="1" x14ac:dyDescent="0.2">
      <c r="A76" s="114" t="s">
        <v>334</v>
      </c>
    </row>
    <row r="77" spans="1:1" ht="17.100000000000001" customHeight="1" x14ac:dyDescent="0.2">
      <c r="A77" t="s">
        <v>254</v>
      </c>
    </row>
    <row r="78" spans="1:1" ht="17.100000000000001" customHeight="1" x14ac:dyDescent="0.2">
      <c r="A78" t="s">
        <v>255</v>
      </c>
    </row>
    <row r="79" spans="1:1" ht="17.100000000000001" customHeight="1" x14ac:dyDescent="0.2">
      <c r="A79" t="s">
        <v>256</v>
      </c>
    </row>
    <row r="80" spans="1:1" ht="17.100000000000001" customHeight="1" x14ac:dyDescent="0.2">
      <c r="A80" s="84" t="s">
        <v>258</v>
      </c>
    </row>
    <row r="81" spans="1:1" ht="17.100000000000001" customHeight="1" x14ac:dyDescent="0.2">
      <c r="A81" t="s">
        <v>259</v>
      </c>
    </row>
    <row r="82" spans="1:1" ht="17.100000000000001" customHeight="1" x14ac:dyDescent="0.2">
      <c r="A82" t="s">
        <v>328</v>
      </c>
    </row>
    <row r="83" spans="1:1" ht="17.100000000000001" customHeight="1" x14ac:dyDescent="0.2">
      <c r="A83" t="s">
        <v>329</v>
      </c>
    </row>
    <row r="84" spans="1:1" ht="17.100000000000001" customHeight="1" x14ac:dyDescent="0.2">
      <c r="A84" t="s">
        <v>330</v>
      </c>
    </row>
    <row r="85" spans="1:1" ht="17.100000000000001" customHeight="1" x14ac:dyDescent="0.2">
      <c r="A85" t="s">
        <v>331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27"/>
  <sheetViews>
    <sheetView topLeftCell="A25" workbookViewId="0">
      <selection activeCell="D16" sqref="D16"/>
    </sheetView>
  </sheetViews>
  <sheetFormatPr defaultColWidth="9" defaultRowHeight="12.75" x14ac:dyDescent="0.2"/>
  <cols>
    <col min="1" max="1" width="110.33203125" customWidth="1"/>
    <col min="2" max="2" width="15" style="64" customWidth="1"/>
    <col min="3" max="3" width="16.5" style="64" customWidth="1"/>
    <col min="4" max="4" width="16" style="64" customWidth="1"/>
  </cols>
  <sheetData>
    <row r="1" spans="1:4" x14ac:dyDescent="0.2">
      <c r="A1" s="59" t="s">
        <v>138</v>
      </c>
      <c r="B1" s="79" t="s">
        <v>135</v>
      </c>
      <c r="C1" s="79" t="s">
        <v>136</v>
      </c>
      <c r="D1" s="79" t="s">
        <v>137</v>
      </c>
    </row>
    <row r="2" spans="1:4" ht="18.75" customHeight="1" x14ac:dyDescent="0.2">
      <c r="A2" s="15"/>
    </row>
    <row r="3" spans="1:4" x14ac:dyDescent="0.2">
      <c r="A3" s="56" t="s">
        <v>104</v>
      </c>
    </row>
    <row r="4" spans="1:4" x14ac:dyDescent="0.2">
      <c r="A4" s="57" t="s">
        <v>141</v>
      </c>
    </row>
    <row r="5" spans="1:4" ht="18.75" customHeight="1" x14ac:dyDescent="0.2">
      <c r="A5" s="56" t="s">
        <v>19</v>
      </c>
    </row>
    <row r="6" spans="1:4" x14ac:dyDescent="0.2">
      <c r="A6" s="17" t="s">
        <v>105</v>
      </c>
      <c r="B6" s="64">
        <v>180</v>
      </c>
    </row>
    <row r="7" spans="1:4" x14ac:dyDescent="0.2">
      <c r="A7" s="17" t="s">
        <v>106</v>
      </c>
    </row>
    <row r="8" spans="1:4" x14ac:dyDescent="0.2">
      <c r="A8" s="17" t="s">
        <v>107</v>
      </c>
    </row>
    <row r="9" spans="1:4" x14ac:dyDescent="0.2">
      <c r="A9" s="15" t="s">
        <v>108</v>
      </c>
    </row>
    <row r="10" spans="1:4" x14ac:dyDescent="0.2">
      <c r="A10" s="15" t="s">
        <v>109</v>
      </c>
      <c r="B10" s="64">
        <v>180</v>
      </c>
    </row>
    <row r="11" spans="1:4" x14ac:dyDescent="0.2">
      <c r="A11" s="15" t="s">
        <v>110</v>
      </c>
      <c r="B11" s="64">
        <v>91</v>
      </c>
      <c r="D11" s="64">
        <v>19</v>
      </c>
    </row>
    <row r="12" spans="1:4" x14ac:dyDescent="0.2">
      <c r="A12" s="15" t="s">
        <v>111</v>
      </c>
      <c r="B12" s="64">
        <v>77</v>
      </c>
    </row>
    <row r="13" spans="1:4" x14ac:dyDescent="0.2">
      <c r="A13" s="15" t="s">
        <v>112</v>
      </c>
      <c r="B13" s="64">
        <v>150</v>
      </c>
    </row>
    <row r="14" spans="1:4" x14ac:dyDescent="0.2">
      <c r="A14" s="15" t="s">
        <v>113</v>
      </c>
      <c r="B14" s="64">
        <v>94</v>
      </c>
    </row>
    <row r="15" spans="1:4" x14ac:dyDescent="0.2">
      <c r="A15" s="15" t="s">
        <v>114</v>
      </c>
      <c r="B15" s="64">
        <v>230</v>
      </c>
    </row>
    <row r="16" spans="1:4" x14ac:dyDescent="0.2">
      <c r="A16" s="15"/>
    </row>
    <row r="17" spans="1:2" x14ac:dyDescent="0.2">
      <c r="A17" s="56" t="s">
        <v>20</v>
      </c>
    </row>
    <row r="18" spans="1:2" ht="13.5" customHeight="1" x14ac:dyDescent="0.2">
      <c r="A18" s="17" t="s">
        <v>115</v>
      </c>
    </row>
    <row r="19" spans="1:2" x14ac:dyDescent="0.2">
      <c r="A19" s="17" t="s">
        <v>116</v>
      </c>
    </row>
    <row r="20" spans="1:2" x14ac:dyDescent="0.2">
      <c r="A20" s="17" t="s">
        <v>117</v>
      </c>
      <c r="B20" s="64">
        <v>99</v>
      </c>
    </row>
    <row r="21" spans="1:2" x14ac:dyDescent="0.2">
      <c r="A21" s="15" t="s">
        <v>118</v>
      </c>
    </row>
    <row r="22" spans="1:2" x14ac:dyDescent="0.2">
      <c r="A22" s="15" t="s">
        <v>119</v>
      </c>
      <c r="B22" s="64">
        <v>140</v>
      </c>
    </row>
    <row r="23" spans="1:2" x14ac:dyDescent="0.2">
      <c r="A23" s="15" t="s">
        <v>120</v>
      </c>
    </row>
    <row r="24" spans="1:2" x14ac:dyDescent="0.2">
      <c r="A24" s="15" t="s">
        <v>121</v>
      </c>
    </row>
    <row r="25" spans="1:2" x14ac:dyDescent="0.2">
      <c r="A25" s="15" t="s">
        <v>122</v>
      </c>
    </row>
    <row r="26" spans="1:2" x14ac:dyDescent="0.2">
      <c r="A26" s="15" t="s">
        <v>123</v>
      </c>
    </row>
    <row r="27" spans="1:2" x14ac:dyDescent="0.2">
      <c r="A27" s="15" t="s">
        <v>124</v>
      </c>
    </row>
    <row r="28" spans="1:2" x14ac:dyDescent="0.2">
      <c r="A28" s="15" t="s">
        <v>125</v>
      </c>
    </row>
    <row r="29" spans="1:2" x14ac:dyDescent="0.2">
      <c r="A29" s="15" t="s">
        <v>126</v>
      </c>
      <c r="B29" s="64">
        <v>104</v>
      </c>
    </row>
    <row r="30" spans="1:2" x14ac:dyDescent="0.2">
      <c r="A30" s="15"/>
    </row>
    <row r="31" spans="1:2" x14ac:dyDescent="0.2">
      <c r="A31" s="56" t="s">
        <v>21</v>
      </c>
    </row>
    <row r="32" spans="1:2" x14ac:dyDescent="0.2">
      <c r="A32" s="57" t="s">
        <v>127</v>
      </c>
    </row>
    <row r="33" spans="1:2" x14ac:dyDescent="0.2">
      <c r="A33" s="57" t="s">
        <v>128</v>
      </c>
    </row>
    <row r="34" spans="1:2" x14ac:dyDescent="0.2">
      <c r="A34" s="57" t="s">
        <v>129</v>
      </c>
    </row>
    <row r="35" spans="1:2" x14ac:dyDescent="0.2">
      <c r="A35" s="57" t="s">
        <v>130</v>
      </c>
      <c r="B35" s="64">
        <v>285</v>
      </c>
    </row>
    <row r="36" spans="1:2" x14ac:dyDescent="0.2">
      <c r="A36" s="57" t="s">
        <v>131</v>
      </c>
    </row>
    <row r="37" spans="1:2" x14ac:dyDescent="0.2">
      <c r="A37" s="57" t="s">
        <v>132</v>
      </c>
    </row>
    <row r="38" spans="1:2" x14ac:dyDescent="0.2">
      <c r="A38" s="57" t="s">
        <v>133</v>
      </c>
    </row>
    <row r="39" spans="1:2" x14ac:dyDescent="0.2">
      <c r="A39" s="57" t="s">
        <v>134</v>
      </c>
    </row>
    <row r="40" spans="1:2" x14ac:dyDescent="0.2">
      <c r="A40" s="15"/>
    </row>
    <row r="41" spans="1:2" x14ac:dyDescent="0.2">
      <c r="A41" s="17"/>
    </row>
    <row r="42" spans="1:2" x14ac:dyDescent="0.2">
      <c r="A42" s="17"/>
    </row>
    <row r="43" spans="1:2" x14ac:dyDescent="0.2">
      <c r="A43" s="17"/>
    </row>
    <row r="44" spans="1:2" x14ac:dyDescent="0.2">
      <c r="A44" s="17"/>
    </row>
    <row r="45" spans="1:2" x14ac:dyDescent="0.2">
      <c r="A45" s="17"/>
    </row>
    <row r="46" spans="1:2" x14ac:dyDescent="0.2">
      <c r="A46" s="17"/>
    </row>
    <row r="47" spans="1:2" x14ac:dyDescent="0.2">
      <c r="A47" s="17"/>
    </row>
    <row r="48" spans="1:2" x14ac:dyDescent="0.2">
      <c r="A48" s="17"/>
    </row>
    <row r="49" spans="1:1" x14ac:dyDescent="0.2">
      <c r="A49" s="17"/>
    </row>
    <row r="50" spans="1:1" x14ac:dyDescent="0.2">
      <c r="A50" s="17"/>
    </row>
    <row r="51" spans="1:1" x14ac:dyDescent="0.2">
      <c r="A51" s="17"/>
    </row>
    <row r="52" spans="1:1" x14ac:dyDescent="0.2">
      <c r="A52" s="17"/>
    </row>
    <row r="53" spans="1:1" x14ac:dyDescent="0.2">
      <c r="A53" s="17"/>
    </row>
    <row r="54" spans="1:1" x14ac:dyDescent="0.2">
      <c r="A54" s="17"/>
    </row>
    <row r="55" spans="1:1" x14ac:dyDescent="0.2">
      <c r="A55" s="17"/>
    </row>
    <row r="56" spans="1:1" x14ac:dyDescent="0.2">
      <c r="A56" s="17"/>
    </row>
    <row r="57" spans="1:1" x14ac:dyDescent="0.2">
      <c r="A57" s="17"/>
    </row>
    <row r="58" spans="1:1" x14ac:dyDescent="0.2">
      <c r="A58" s="15"/>
    </row>
    <row r="59" spans="1:1" x14ac:dyDescent="0.2">
      <c r="A59" s="15"/>
    </row>
    <row r="60" spans="1:1" x14ac:dyDescent="0.2">
      <c r="A60" s="17"/>
    </row>
    <row r="61" spans="1:1" x14ac:dyDescent="0.2">
      <c r="A61" s="15"/>
    </row>
    <row r="62" spans="1:1" x14ac:dyDescent="0.2">
      <c r="A62" s="15"/>
    </row>
    <row r="63" spans="1:1" x14ac:dyDescent="0.2">
      <c r="A63" s="15"/>
    </row>
    <row r="64" spans="1:1" x14ac:dyDescent="0.2">
      <c r="A64" s="15"/>
    </row>
    <row r="65" spans="1:1" x14ac:dyDescent="0.2">
      <c r="A65" s="15"/>
    </row>
    <row r="66" spans="1:1" x14ac:dyDescent="0.2">
      <c r="A66" s="15"/>
    </row>
    <row r="67" spans="1:1" x14ac:dyDescent="0.2">
      <c r="A67" s="15"/>
    </row>
    <row r="68" spans="1:1" x14ac:dyDescent="0.2">
      <c r="A68" s="15"/>
    </row>
    <row r="69" spans="1:1" x14ac:dyDescent="0.2">
      <c r="A69" s="15"/>
    </row>
    <row r="70" spans="1:1" x14ac:dyDescent="0.2">
      <c r="A70" s="15"/>
    </row>
    <row r="71" spans="1:1" x14ac:dyDescent="0.2">
      <c r="A71" s="15"/>
    </row>
    <row r="72" spans="1:1" x14ac:dyDescent="0.2">
      <c r="A72" s="15"/>
    </row>
    <row r="73" spans="1:1" x14ac:dyDescent="0.2">
      <c r="A73" s="17"/>
    </row>
    <row r="74" spans="1:1" x14ac:dyDescent="0.2">
      <c r="A74" s="17"/>
    </row>
    <row r="75" spans="1:1" x14ac:dyDescent="0.2">
      <c r="A75" s="17"/>
    </row>
    <row r="77" spans="1:1" x14ac:dyDescent="0.2">
      <c r="A77" s="17"/>
    </row>
    <row r="78" spans="1:1" x14ac:dyDescent="0.2">
      <c r="A78" s="17"/>
    </row>
    <row r="79" spans="1:1" x14ac:dyDescent="0.2">
      <c r="A79" s="16"/>
    </row>
    <row r="80" spans="1:1" x14ac:dyDescent="0.2">
      <c r="A80" s="17"/>
    </row>
    <row r="81" spans="1:1" x14ac:dyDescent="0.2">
      <c r="A81" s="17"/>
    </row>
    <row r="82" spans="1:1" x14ac:dyDescent="0.2">
      <c r="A82" s="15"/>
    </row>
    <row r="83" spans="1:1" x14ac:dyDescent="0.2">
      <c r="A83" s="15"/>
    </row>
    <row r="84" spans="1:1" x14ac:dyDescent="0.2">
      <c r="A84" s="15"/>
    </row>
    <row r="85" spans="1:1" x14ac:dyDescent="0.2">
      <c r="A85" s="15"/>
    </row>
    <row r="86" spans="1:1" x14ac:dyDescent="0.2">
      <c r="A86" s="15"/>
    </row>
    <row r="87" spans="1:1" x14ac:dyDescent="0.2">
      <c r="A87" s="15"/>
    </row>
    <row r="88" spans="1:1" x14ac:dyDescent="0.2">
      <c r="A88" s="15"/>
    </row>
    <row r="89" spans="1:1" x14ac:dyDescent="0.2">
      <c r="A89" s="15"/>
    </row>
    <row r="90" spans="1:1" x14ac:dyDescent="0.2">
      <c r="A90" s="15"/>
    </row>
    <row r="91" spans="1:1" x14ac:dyDescent="0.2">
      <c r="A91" s="15"/>
    </row>
    <row r="92" spans="1:1" x14ac:dyDescent="0.2">
      <c r="A92" s="15"/>
    </row>
    <row r="93" spans="1:1" x14ac:dyDescent="0.2">
      <c r="A93" s="17"/>
    </row>
    <row r="94" spans="1:1" x14ac:dyDescent="0.2">
      <c r="A94" s="17"/>
    </row>
    <row r="95" spans="1:1" x14ac:dyDescent="0.2">
      <c r="A95" s="17"/>
    </row>
    <row r="96" spans="1:1" x14ac:dyDescent="0.2">
      <c r="A96" s="17"/>
    </row>
    <row r="97" spans="1:1" x14ac:dyDescent="0.2">
      <c r="A97" s="17"/>
    </row>
    <row r="98" spans="1:1" x14ac:dyDescent="0.2">
      <c r="A98" s="17"/>
    </row>
    <row r="99" spans="1:1" x14ac:dyDescent="0.2">
      <c r="A99" s="17"/>
    </row>
    <row r="100" spans="1:1" x14ac:dyDescent="0.2">
      <c r="A100" s="17"/>
    </row>
    <row r="101" spans="1:1" x14ac:dyDescent="0.2">
      <c r="A101" s="17"/>
    </row>
    <row r="102" spans="1:1" x14ac:dyDescent="0.2">
      <c r="A102" s="17"/>
    </row>
    <row r="103" spans="1:1" x14ac:dyDescent="0.2">
      <c r="A103" s="17"/>
    </row>
    <row r="104" spans="1:1" x14ac:dyDescent="0.2">
      <c r="A104" s="17"/>
    </row>
    <row r="105" spans="1:1" x14ac:dyDescent="0.2">
      <c r="A105" s="17"/>
    </row>
    <row r="106" spans="1:1" x14ac:dyDescent="0.2">
      <c r="A106" s="17"/>
    </row>
    <row r="107" spans="1:1" x14ac:dyDescent="0.2">
      <c r="A107" s="17"/>
    </row>
    <row r="108" spans="1:1" x14ac:dyDescent="0.2">
      <c r="A108" s="15"/>
    </row>
    <row r="109" spans="1:1" x14ac:dyDescent="0.2">
      <c r="A109" s="15"/>
    </row>
    <row r="110" spans="1:1" x14ac:dyDescent="0.2">
      <c r="A110" s="15"/>
    </row>
    <row r="111" spans="1:1" x14ac:dyDescent="0.2">
      <c r="A111" s="15"/>
    </row>
    <row r="112" spans="1:1" x14ac:dyDescent="0.2">
      <c r="A112" s="15"/>
    </row>
    <row r="113" spans="1:1" x14ac:dyDescent="0.2">
      <c r="A113" s="15"/>
    </row>
    <row r="114" spans="1:1" x14ac:dyDescent="0.2">
      <c r="A114" s="15"/>
    </row>
    <row r="115" spans="1:1" x14ac:dyDescent="0.2">
      <c r="A115" s="15"/>
    </row>
    <row r="116" spans="1:1" x14ac:dyDescent="0.2">
      <c r="A116" s="15"/>
    </row>
    <row r="117" spans="1:1" x14ac:dyDescent="0.2">
      <c r="A117" s="15"/>
    </row>
    <row r="118" spans="1:1" x14ac:dyDescent="0.2">
      <c r="A118" s="15"/>
    </row>
    <row r="119" spans="1:1" x14ac:dyDescent="0.2">
      <c r="A119" s="15"/>
    </row>
    <row r="120" spans="1:1" x14ac:dyDescent="0.2">
      <c r="A120" s="15"/>
    </row>
    <row r="121" spans="1:1" x14ac:dyDescent="0.2">
      <c r="A121" s="15"/>
    </row>
    <row r="122" spans="1:1" x14ac:dyDescent="0.2">
      <c r="A122" s="15"/>
    </row>
    <row r="123" spans="1:1" x14ac:dyDescent="0.2">
      <c r="A123" s="15"/>
    </row>
    <row r="124" spans="1:1" x14ac:dyDescent="0.2">
      <c r="A124" s="15"/>
    </row>
    <row r="125" spans="1:1" x14ac:dyDescent="0.2">
      <c r="A125" s="15"/>
    </row>
    <row r="126" spans="1:1" x14ac:dyDescent="0.2">
      <c r="A126" s="15"/>
    </row>
    <row r="127" spans="1:1" x14ac:dyDescent="0.2">
      <c r="A127" s="15"/>
    </row>
    <row r="128" spans="1:1" x14ac:dyDescent="0.2">
      <c r="A128" s="15"/>
    </row>
    <row r="129" spans="1:1" x14ac:dyDescent="0.2">
      <c r="A129" s="15"/>
    </row>
    <row r="130" spans="1:1" x14ac:dyDescent="0.2">
      <c r="A130" s="17"/>
    </row>
    <row r="131" spans="1:1" x14ac:dyDescent="0.2">
      <c r="A131" s="17"/>
    </row>
    <row r="132" spans="1:1" x14ac:dyDescent="0.2">
      <c r="A132" s="17"/>
    </row>
    <row r="133" spans="1:1" x14ac:dyDescent="0.2">
      <c r="A133" s="17"/>
    </row>
    <row r="134" spans="1:1" x14ac:dyDescent="0.2">
      <c r="A134" s="17"/>
    </row>
    <row r="135" spans="1:1" x14ac:dyDescent="0.2">
      <c r="A135" s="17"/>
    </row>
    <row r="136" spans="1:1" x14ac:dyDescent="0.2">
      <c r="A136" s="17"/>
    </row>
    <row r="137" spans="1:1" x14ac:dyDescent="0.2">
      <c r="A137" s="17"/>
    </row>
    <row r="138" spans="1:1" x14ac:dyDescent="0.2">
      <c r="A138" s="17"/>
    </row>
    <row r="139" spans="1:1" x14ac:dyDescent="0.2">
      <c r="A139" s="17"/>
    </row>
    <row r="140" spans="1:1" x14ac:dyDescent="0.2">
      <c r="A140" s="15"/>
    </row>
    <row r="141" spans="1:1" x14ac:dyDescent="0.2">
      <c r="A141" s="17"/>
    </row>
    <row r="142" spans="1:1" x14ac:dyDescent="0.2">
      <c r="A142" s="17"/>
    </row>
    <row r="143" spans="1:1" x14ac:dyDescent="0.2">
      <c r="A143" s="17"/>
    </row>
    <row r="144" spans="1:1" x14ac:dyDescent="0.2">
      <c r="A144" s="17"/>
    </row>
    <row r="145" spans="1:1" x14ac:dyDescent="0.2">
      <c r="A145" s="17"/>
    </row>
    <row r="146" spans="1:1" x14ac:dyDescent="0.2">
      <c r="A146" s="17"/>
    </row>
    <row r="147" spans="1:1" x14ac:dyDescent="0.2">
      <c r="A147" s="17"/>
    </row>
    <row r="148" spans="1:1" x14ac:dyDescent="0.2">
      <c r="A148" s="17"/>
    </row>
    <row r="149" spans="1:1" x14ac:dyDescent="0.2">
      <c r="A149" s="17"/>
    </row>
    <row r="150" spans="1:1" x14ac:dyDescent="0.2">
      <c r="A150" s="17"/>
    </row>
    <row r="151" spans="1:1" x14ac:dyDescent="0.2">
      <c r="A151" s="17"/>
    </row>
    <row r="152" spans="1:1" x14ac:dyDescent="0.2">
      <c r="A152" s="17"/>
    </row>
    <row r="153" spans="1:1" x14ac:dyDescent="0.2">
      <c r="A153" s="17"/>
    </row>
    <row r="154" spans="1:1" x14ac:dyDescent="0.2">
      <c r="A154" s="17"/>
    </row>
    <row r="155" spans="1:1" x14ac:dyDescent="0.2">
      <c r="A155" s="15"/>
    </row>
    <row r="156" spans="1:1" x14ac:dyDescent="0.2">
      <c r="A156" s="17"/>
    </row>
    <row r="157" spans="1:1" x14ac:dyDescent="0.2">
      <c r="A157" s="17"/>
    </row>
    <row r="158" spans="1:1" x14ac:dyDescent="0.2">
      <c r="A158" s="17"/>
    </row>
    <row r="159" spans="1:1" x14ac:dyDescent="0.2">
      <c r="A159" s="17"/>
    </row>
    <row r="160" spans="1:1" x14ac:dyDescent="0.2">
      <c r="A160" s="15"/>
    </row>
    <row r="161" spans="1:1" x14ac:dyDescent="0.2">
      <c r="A161" s="17"/>
    </row>
    <row r="162" spans="1:1" x14ac:dyDescent="0.2">
      <c r="A162" s="17"/>
    </row>
    <row r="163" spans="1:1" x14ac:dyDescent="0.2">
      <c r="A163" s="17"/>
    </row>
    <row r="164" spans="1:1" x14ac:dyDescent="0.2">
      <c r="A164" s="17"/>
    </row>
    <row r="165" spans="1:1" x14ac:dyDescent="0.2">
      <c r="A165" s="17"/>
    </row>
    <row r="166" spans="1:1" x14ac:dyDescent="0.2">
      <c r="A166" s="17"/>
    </row>
    <row r="167" spans="1:1" x14ac:dyDescent="0.2">
      <c r="A167" s="17"/>
    </row>
    <row r="168" spans="1:1" x14ac:dyDescent="0.2">
      <c r="A168" s="17"/>
    </row>
    <row r="169" spans="1:1" x14ac:dyDescent="0.2">
      <c r="A169" s="17"/>
    </row>
    <row r="170" spans="1:1" x14ac:dyDescent="0.2">
      <c r="A170" s="17"/>
    </row>
    <row r="171" spans="1:1" x14ac:dyDescent="0.2">
      <c r="A171" s="17"/>
    </row>
    <row r="172" spans="1:1" x14ac:dyDescent="0.2">
      <c r="A172" s="17"/>
    </row>
    <row r="173" spans="1:1" x14ac:dyDescent="0.2">
      <c r="A173" s="17"/>
    </row>
    <row r="174" spans="1:1" x14ac:dyDescent="0.2">
      <c r="A174" s="17"/>
    </row>
    <row r="175" spans="1:1" x14ac:dyDescent="0.2">
      <c r="A175" s="17"/>
    </row>
    <row r="176" spans="1:1" x14ac:dyDescent="0.2">
      <c r="A176" s="17"/>
    </row>
    <row r="177" spans="1:1" x14ac:dyDescent="0.2">
      <c r="A177" s="17"/>
    </row>
    <row r="178" spans="1:1" x14ac:dyDescent="0.2">
      <c r="A178" s="17"/>
    </row>
    <row r="179" spans="1:1" x14ac:dyDescent="0.2">
      <c r="A179" s="17"/>
    </row>
    <row r="180" spans="1:1" x14ac:dyDescent="0.2">
      <c r="A180" s="17"/>
    </row>
    <row r="181" spans="1:1" x14ac:dyDescent="0.2">
      <c r="A181" s="17"/>
    </row>
    <row r="182" spans="1:1" x14ac:dyDescent="0.2">
      <c r="A182" s="17"/>
    </row>
    <row r="183" spans="1:1" x14ac:dyDescent="0.2">
      <c r="A183" s="17"/>
    </row>
    <row r="184" spans="1:1" x14ac:dyDescent="0.2">
      <c r="A184" s="17"/>
    </row>
    <row r="185" spans="1:1" x14ac:dyDescent="0.2">
      <c r="A185" s="17"/>
    </row>
    <row r="186" spans="1:1" x14ac:dyDescent="0.2">
      <c r="A186" s="17"/>
    </row>
    <row r="187" spans="1:1" x14ac:dyDescent="0.2">
      <c r="A187" s="17"/>
    </row>
    <row r="188" spans="1:1" x14ac:dyDescent="0.2">
      <c r="A188" s="17"/>
    </row>
    <row r="189" spans="1:1" x14ac:dyDescent="0.2">
      <c r="A189" s="17"/>
    </row>
    <row r="190" spans="1:1" x14ac:dyDescent="0.2">
      <c r="A190" s="17"/>
    </row>
    <row r="191" spans="1:1" x14ac:dyDescent="0.2">
      <c r="A191" s="17"/>
    </row>
    <row r="192" spans="1:1" x14ac:dyDescent="0.2">
      <c r="A192" s="15"/>
    </row>
    <row r="193" spans="1:1" x14ac:dyDescent="0.2">
      <c r="A193" s="15"/>
    </row>
    <row r="194" spans="1:1" x14ac:dyDescent="0.2">
      <c r="A194" s="15"/>
    </row>
    <row r="195" spans="1:1" x14ac:dyDescent="0.2">
      <c r="A195" s="15"/>
    </row>
    <row r="196" spans="1:1" x14ac:dyDescent="0.2">
      <c r="A196" s="15"/>
    </row>
    <row r="197" spans="1:1" x14ac:dyDescent="0.2">
      <c r="A197" s="15"/>
    </row>
    <row r="198" spans="1:1" x14ac:dyDescent="0.2">
      <c r="A198" s="17"/>
    </row>
    <row r="199" spans="1:1" x14ac:dyDescent="0.2">
      <c r="A199" s="17"/>
    </row>
    <row r="200" spans="1:1" x14ac:dyDescent="0.2">
      <c r="A200" s="17"/>
    </row>
    <row r="201" spans="1:1" x14ac:dyDescent="0.2">
      <c r="A201" s="15"/>
    </row>
    <row r="202" spans="1:1" x14ac:dyDescent="0.2">
      <c r="A202" s="15"/>
    </row>
    <row r="203" spans="1:1" x14ac:dyDescent="0.2">
      <c r="A203" s="15"/>
    </row>
    <row r="204" spans="1:1" x14ac:dyDescent="0.2">
      <c r="A204" s="17"/>
    </row>
    <row r="205" spans="1:1" x14ac:dyDescent="0.2">
      <c r="A205" s="17"/>
    </row>
    <row r="206" spans="1:1" x14ac:dyDescent="0.2">
      <c r="A206" s="17"/>
    </row>
    <row r="207" spans="1:1" x14ac:dyDescent="0.2">
      <c r="A207" s="17"/>
    </row>
    <row r="208" spans="1:1" x14ac:dyDescent="0.2">
      <c r="A208" s="17"/>
    </row>
    <row r="209" spans="1:1" x14ac:dyDescent="0.2">
      <c r="A209" s="15"/>
    </row>
    <row r="210" spans="1:1" x14ac:dyDescent="0.2">
      <c r="A210" s="15"/>
    </row>
    <row r="211" spans="1:1" x14ac:dyDescent="0.2">
      <c r="A211" s="15"/>
    </row>
    <row r="212" spans="1:1" x14ac:dyDescent="0.2">
      <c r="A212" s="15"/>
    </row>
    <row r="213" spans="1:1" x14ac:dyDescent="0.2">
      <c r="A213" s="15"/>
    </row>
    <row r="214" spans="1:1" x14ac:dyDescent="0.2">
      <c r="A214" s="15"/>
    </row>
    <row r="215" spans="1:1" x14ac:dyDescent="0.2">
      <c r="A215" s="15"/>
    </row>
    <row r="216" spans="1:1" x14ac:dyDescent="0.2">
      <c r="A216" s="15"/>
    </row>
    <row r="217" spans="1:1" x14ac:dyDescent="0.2">
      <c r="A217" s="15"/>
    </row>
    <row r="218" spans="1:1" x14ac:dyDescent="0.2">
      <c r="A218" s="15"/>
    </row>
    <row r="219" spans="1:1" x14ac:dyDescent="0.2">
      <c r="A219" s="15"/>
    </row>
    <row r="220" spans="1:1" x14ac:dyDescent="0.2">
      <c r="A220" s="15"/>
    </row>
    <row r="221" spans="1:1" x14ac:dyDescent="0.2">
      <c r="A221" s="15"/>
    </row>
    <row r="222" spans="1:1" x14ac:dyDescent="0.2">
      <c r="A222" s="15"/>
    </row>
    <row r="223" spans="1:1" x14ac:dyDescent="0.2">
      <c r="A223" s="15"/>
    </row>
    <row r="224" spans="1:1" x14ac:dyDescent="0.2">
      <c r="A224" s="15"/>
    </row>
    <row r="225" spans="1:1" x14ac:dyDescent="0.2">
      <c r="A225" s="15"/>
    </row>
    <row r="226" spans="1:1" x14ac:dyDescent="0.2">
      <c r="A226" s="15"/>
    </row>
    <row r="227" spans="1:1" x14ac:dyDescent="0.2">
      <c r="A227" s="17"/>
    </row>
    <row r="228" spans="1:1" x14ac:dyDescent="0.2">
      <c r="A228" s="17"/>
    </row>
    <row r="229" spans="1:1" x14ac:dyDescent="0.2">
      <c r="A229" s="17"/>
    </row>
    <row r="230" spans="1:1" x14ac:dyDescent="0.2">
      <c r="A230" s="17"/>
    </row>
    <row r="231" spans="1:1" x14ac:dyDescent="0.2">
      <c r="A231" s="16"/>
    </row>
    <row r="232" spans="1:1" x14ac:dyDescent="0.2">
      <c r="A232" s="17"/>
    </row>
    <row r="233" spans="1:1" x14ac:dyDescent="0.2">
      <c r="A233" s="15"/>
    </row>
    <row r="234" spans="1:1" x14ac:dyDescent="0.2">
      <c r="A234" s="15"/>
    </row>
    <row r="235" spans="1:1" x14ac:dyDescent="0.2">
      <c r="A235" s="15"/>
    </row>
    <row r="236" spans="1:1" x14ac:dyDescent="0.2">
      <c r="A236" s="15"/>
    </row>
    <row r="237" spans="1:1" x14ac:dyDescent="0.2">
      <c r="A237" s="15"/>
    </row>
    <row r="238" spans="1:1" x14ac:dyDescent="0.2">
      <c r="A238" s="15"/>
    </row>
    <row r="239" spans="1:1" x14ac:dyDescent="0.2">
      <c r="A239" s="15"/>
    </row>
    <row r="240" spans="1:1" x14ac:dyDescent="0.2">
      <c r="A240" s="15"/>
    </row>
    <row r="241" spans="1:1" x14ac:dyDescent="0.2">
      <c r="A241" s="15"/>
    </row>
    <row r="242" spans="1:1" x14ac:dyDescent="0.2">
      <c r="A242" s="15"/>
    </row>
    <row r="243" spans="1:1" x14ac:dyDescent="0.2">
      <c r="A243" s="15"/>
    </row>
    <row r="244" spans="1:1" x14ac:dyDescent="0.2">
      <c r="A244" s="15"/>
    </row>
    <row r="245" spans="1:1" x14ac:dyDescent="0.2">
      <c r="A245" s="15"/>
    </row>
    <row r="246" spans="1:1" x14ac:dyDescent="0.2">
      <c r="A246" s="15"/>
    </row>
    <row r="247" spans="1:1" x14ac:dyDescent="0.2">
      <c r="A247" s="15"/>
    </row>
    <row r="248" spans="1:1" x14ac:dyDescent="0.2">
      <c r="A248" s="15"/>
    </row>
    <row r="249" spans="1:1" x14ac:dyDescent="0.2">
      <c r="A249" s="15"/>
    </row>
    <row r="250" spans="1:1" x14ac:dyDescent="0.2">
      <c r="A250" s="15"/>
    </row>
    <row r="252" spans="1:1" x14ac:dyDescent="0.2">
      <c r="A252" s="17"/>
    </row>
    <row r="253" spans="1:1" x14ac:dyDescent="0.2">
      <c r="A253" s="16"/>
    </row>
    <row r="254" spans="1:1" x14ac:dyDescent="0.2">
      <c r="A254" s="17"/>
    </row>
    <row r="255" spans="1:1" x14ac:dyDescent="0.2">
      <c r="A255" s="15"/>
    </row>
    <row r="256" spans="1:1" x14ac:dyDescent="0.2">
      <c r="A256" s="15"/>
    </row>
    <row r="257" spans="1:1" x14ac:dyDescent="0.2">
      <c r="A257" s="15"/>
    </row>
    <row r="258" spans="1:1" x14ac:dyDescent="0.2">
      <c r="A258" s="15"/>
    </row>
    <row r="259" spans="1:1" x14ac:dyDescent="0.2">
      <c r="A259" s="15"/>
    </row>
    <row r="260" spans="1:1" x14ac:dyDescent="0.2">
      <c r="A260" s="15"/>
    </row>
    <row r="261" spans="1:1" x14ac:dyDescent="0.2">
      <c r="A261" s="15"/>
    </row>
    <row r="262" spans="1:1" x14ac:dyDescent="0.2">
      <c r="A262" s="17"/>
    </row>
    <row r="263" spans="1:1" x14ac:dyDescent="0.2">
      <c r="A263" s="17"/>
    </row>
    <row r="264" spans="1:1" x14ac:dyDescent="0.2">
      <c r="A264" s="17"/>
    </row>
    <row r="265" spans="1:1" x14ac:dyDescent="0.2">
      <c r="A265" s="17"/>
    </row>
    <row r="266" spans="1:1" x14ac:dyDescent="0.2">
      <c r="A266" s="17"/>
    </row>
    <row r="267" spans="1:1" x14ac:dyDescent="0.2">
      <c r="A267" s="17"/>
    </row>
    <row r="268" spans="1:1" x14ac:dyDescent="0.2">
      <c r="A268" s="17"/>
    </row>
    <row r="269" spans="1:1" x14ac:dyDescent="0.2">
      <c r="A269" s="17"/>
    </row>
    <row r="270" spans="1:1" x14ac:dyDescent="0.2">
      <c r="A270" s="17"/>
    </row>
    <row r="271" spans="1:1" x14ac:dyDescent="0.2">
      <c r="A271" s="17"/>
    </row>
    <row r="272" spans="1:1" x14ac:dyDescent="0.2">
      <c r="A272" s="17"/>
    </row>
    <row r="273" spans="1:1" x14ac:dyDescent="0.2">
      <c r="A273" s="17"/>
    </row>
    <row r="274" spans="1:1" x14ac:dyDescent="0.2">
      <c r="A274" s="17"/>
    </row>
    <row r="275" spans="1:1" x14ac:dyDescent="0.2">
      <c r="A275" s="17"/>
    </row>
    <row r="276" spans="1:1" x14ac:dyDescent="0.2">
      <c r="A276" s="17"/>
    </row>
    <row r="277" spans="1:1" x14ac:dyDescent="0.2">
      <c r="A277" s="17"/>
    </row>
    <row r="278" spans="1:1" x14ac:dyDescent="0.2">
      <c r="A278" s="17"/>
    </row>
    <row r="279" spans="1:1" x14ac:dyDescent="0.2">
      <c r="A279" s="17"/>
    </row>
    <row r="280" spans="1:1" x14ac:dyDescent="0.2">
      <c r="A280" s="17"/>
    </row>
    <row r="281" spans="1:1" x14ac:dyDescent="0.2">
      <c r="A281" s="17"/>
    </row>
    <row r="282" spans="1:1" x14ac:dyDescent="0.2">
      <c r="A282" s="17"/>
    </row>
    <row r="283" spans="1:1" x14ac:dyDescent="0.2">
      <c r="A283" s="15"/>
    </row>
    <row r="284" spans="1:1" x14ac:dyDescent="0.2">
      <c r="A284" s="15"/>
    </row>
    <row r="285" spans="1:1" x14ac:dyDescent="0.2">
      <c r="A285" s="15"/>
    </row>
    <row r="286" spans="1:1" x14ac:dyDescent="0.2">
      <c r="A286" s="17"/>
    </row>
    <row r="287" spans="1:1" x14ac:dyDescent="0.2">
      <c r="A287" s="17"/>
    </row>
    <row r="288" spans="1:1" x14ac:dyDescent="0.2">
      <c r="A288" s="17"/>
    </row>
    <row r="289" spans="1:1" x14ac:dyDescent="0.2">
      <c r="A289" s="17"/>
    </row>
    <row r="290" spans="1:1" x14ac:dyDescent="0.2">
      <c r="A290" s="17"/>
    </row>
    <row r="291" spans="1:1" x14ac:dyDescent="0.2">
      <c r="A291" s="17"/>
    </row>
    <row r="292" spans="1:1" x14ac:dyDescent="0.2">
      <c r="A292" s="15"/>
    </row>
    <row r="293" spans="1:1" x14ac:dyDescent="0.2">
      <c r="A293" s="15"/>
    </row>
    <row r="294" spans="1:1" x14ac:dyDescent="0.2">
      <c r="A294" s="15"/>
    </row>
    <row r="295" spans="1:1" x14ac:dyDescent="0.2">
      <c r="A295" s="15"/>
    </row>
    <row r="296" spans="1:1" x14ac:dyDescent="0.2">
      <c r="A296" s="17"/>
    </row>
    <row r="297" spans="1:1" x14ac:dyDescent="0.2">
      <c r="A297" s="17"/>
    </row>
    <row r="298" spans="1:1" x14ac:dyDescent="0.2">
      <c r="A298" s="17"/>
    </row>
    <row r="299" spans="1:1" x14ac:dyDescent="0.2">
      <c r="A299" s="17"/>
    </row>
    <row r="300" spans="1:1" x14ac:dyDescent="0.2">
      <c r="A300" s="17"/>
    </row>
    <row r="301" spans="1:1" x14ac:dyDescent="0.2">
      <c r="A301" s="17"/>
    </row>
    <row r="302" spans="1:1" x14ac:dyDescent="0.2">
      <c r="A302" s="16"/>
    </row>
    <row r="303" spans="1:1" x14ac:dyDescent="0.2">
      <c r="A303" s="17"/>
    </row>
    <row r="304" spans="1:1" x14ac:dyDescent="0.2">
      <c r="A304" s="15"/>
    </row>
    <row r="305" spans="1:1" x14ac:dyDescent="0.2">
      <c r="A305" s="15"/>
    </row>
    <row r="306" spans="1:1" x14ac:dyDescent="0.2">
      <c r="A306" s="15"/>
    </row>
    <row r="307" spans="1:1" x14ac:dyDescent="0.2">
      <c r="A307" s="15"/>
    </row>
    <row r="308" spans="1:1" x14ac:dyDescent="0.2">
      <c r="A308" s="15"/>
    </row>
    <row r="309" spans="1:1" x14ac:dyDescent="0.2">
      <c r="A309" s="15"/>
    </row>
    <row r="310" spans="1:1" x14ac:dyDescent="0.2">
      <c r="A310" s="15"/>
    </row>
    <row r="311" spans="1:1" x14ac:dyDescent="0.2">
      <c r="A311" s="17"/>
    </row>
    <row r="312" spans="1:1" x14ac:dyDescent="0.2">
      <c r="A312" s="17"/>
    </row>
    <row r="313" spans="1:1" x14ac:dyDescent="0.2">
      <c r="A313" s="17"/>
    </row>
    <row r="314" spans="1:1" x14ac:dyDescent="0.2">
      <c r="A314" s="16"/>
    </row>
    <row r="315" spans="1:1" x14ac:dyDescent="0.2">
      <c r="A315" s="17"/>
    </row>
    <row r="316" spans="1:1" x14ac:dyDescent="0.2">
      <c r="A316" s="15"/>
    </row>
    <row r="317" spans="1:1" x14ac:dyDescent="0.2">
      <c r="A317" s="15"/>
    </row>
    <row r="318" spans="1:1" x14ac:dyDescent="0.2">
      <c r="A318" s="15"/>
    </row>
    <row r="319" spans="1:1" x14ac:dyDescent="0.2">
      <c r="A319" s="15"/>
    </row>
    <row r="320" spans="1:1" x14ac:dyDescent="0.2">
      <c r="A320" s="17"/>
    </row>
    <row r="321" spans="1:1" x14ac:dyDescent="0.2">
      <c r="A321" s="17"/>
    </row>
    <row r="322" spans="1:1" x14ac:dyDescent="0.2">
      <c r="A322" s="17"/>
    </row>
    <row r="323" spans="1:1" x14ac:dyDescent="0.2">
      <c r="A323" s="17"/>
    </row>
    <row r="324" spans="1:1" x14ac:dyDescent="0.2">
      <c r="A324" s="16"/>
    </row>
    <row r="325" spans="1:1" x14ac:dyDescent="0.2">
      <c r="A325" s="17"/>
    </row>
    <row r="326" spans="1:1" x14ac:dyDescent="0.2">
      <c r="A326" s="15"/>
    </row>
    <row r="327" spans="1:1" x14ac:dyDescent="0.2">
      <c r="A327" s="15"/>
    </row>
    <row r="328" spans="1:1" x14ac:dyDescent="0.2">
      <c r="A328" s="15"/>
    </row>
    <row r="329" spans="1:1" x14ac:dyDescent="0.2">
      <c r="A329" s="15"/>
    </row>
    <row r="330" spans="1:1" x14ac:dyDescent="0.2">
      <c r="A330" s="15"/>
    </row>
    <row r="331" spans="1:1" x14ac:dyDescent="0.2">
      <c r="A331" s="15"/>
    </row>
    <row r="332" spans="1:1" x14ac:dyDescent="0.2">
      <c r="A332" s="15"/>
    </row>
    <row r="333" spans="1:1" x14ac:dyDescent="0.2">
      <c r="A333" s="15"/>
    </row>
    <row r="334" spans="1:1" x14ac:dyDescent="0.2">
      <c r="A334" s="15"/>
    </row>
    <row r="335" spans="1:1" x14ac:dyDescent="0.2">
      <c r="A335" s="15"/>
    </row>
    <row r="336" spans="1:1" x14ac:dyDescent="0.2">
      <c r="A336" s="15"/>
    </row>
    <row r="337" spans="1:1" x14ac:dyDescent="0.2">
      <c r="A337" s="15"/>
    </row>
    <row r="338" spans="1:1" x14ac:dyDescent="0.2">
      <c r="A338" s="15"/>
    </row>
    <row r="339" spans="1:1" x14ac:dyDescent="0.2">
      <c r="A339" s="15"/>
    </row>
    <row r="340" spans="1:1" x14ac:dyDescent="0.2">
      <c r="A340" s="17"/>
    </row>
    <row r="341" spans="1:1" x14ac:dyDescent="0.2">
      <c r="A341" s="15"/>
    </row>
    <row r="342" spans="1:1" x14ac:dyDescent="0.2">
      <c r="A342" s="15"/>
    </row>
    <row r="343" spans="1:1" x14ac:dyDescent="0.2">
      <c r="A343" s="15"/>
    </row>
    <row r="344" spans="1:1" x14ac:dyDescent="0.2">
      <c r="A344" s="15"/>
    </row>
    <row r="345" spans="1:1" x14ac:dyDescent="0.2">
      <c r="A345" s="15"/>
    </row>
    <row r="346" spans="1:1" x14ac:dyDescent="0.2">
      <c r="A346" s="15"/>
    </row>
    <row r="347" spans="1:1" x14ac:dyDescent="0.2">
      <c r="A347" s="15"/>
    </row>
    <row r="348" spans="1:1" x14ac:dyDescent="0.2">
      <c r="A348" s="15"/>
    </row>
    <row r="349" spans="1:1" x14ac:dyDescent="0.2">
      <c r="A349" s="15"/>
    </row>
    <row r="350" spans="1:1" x14ac:dyDescent="0.2">
      <c r="A350" s="15"/>
    </row>
    <row r="351" spans="1:1" x14ac:dyDescent="0.2">
      <c r="A351" s="17"/>
    </row>
    <row r="352" spans="1:1" x14ac:dyDescent="0.2">
      <c r="A352" s="16"/>
    </row>
    <row r="353" spans="1:1" x14ac:dyDescent="0.2">
      <c r="A353" s="17"/>
    </row>
    <row r="354" spans="1:1" x14ac:dyDescent="0.2">
      <c r="A354" s="15"/>
    </row>
    <row r="355" spans="1:1" x14ac:dyDescent="0.2">
      <c r="A355" s="15"/>
    </row>
    <row r="356" spans="1:1" x14ac:dyDescent="0.2">
      <c r="A356" s="15"/>
    </row>
    <row r="357" spans="1:1" x14ac:dyDescent="0.2">
      <c r="A357" s="15"/>
    </row>
    <row r="358" spans="1:1" x14ac:dyDescent="0.2">
      <c r="A358" s="15"/>
    </row>
    <row r="359" spans="1:1" x14ac:dyDescent="0.2">
      <c r="A359" s="15"/>
    </row>
    <row r="360" spans="1:1" x14ac:dyDescent="0.2">
      <c r="A360" s="15"/>
    </row>
    <row r="361" spans="1:1" x14ac:dyDescent="0.2">
      <c r="A361" s="15"/>
    </row>
    <row r="362" spans="1:1" x14ac:dyDescent="0.2">
      <c r="A362" s="15"/>
    </row>
    <row r="363" spans="1:1" x14ac:dyDescent="0.2">
      <c r="A363" s="15"/>
    </row>
    <row r="364" spans="1:1" x14ac:dyDescent="0.2">
      <c r="A364" s="15"/>
    </row>
    <row r="365" spans="1:1" x14ac:dyDescent="0.2">
      <c r="A365" s="15"/>
    </row>
    <row r="366" spans="1:1" x14ac:dyDescent="0.2">
      <c r="A366" s="17"/>
    </row>
    <row r="367" spans="1:1" x14ac:dyDescent="0.2">
      <c r="A367" s="17"/>
    </row>
    <row r="368" spans="1:1" x14ac:dyDescent="0.2">
      <c r="A368" s="17"/>
    </row>
    <row r="369" spans="1:1" x14ac:dyDescent="0.2">
      <c r="A369" s="16"/>
    </row>
    <row r="370" spans="1:1" x14ac:dyDescent="0.2">
      <c r="A370" s="17"/>
    </row>
    <row r="371" spans="1:1" x14ac:dyDescent="0.2">
      <c r="A371" s="15"/>
    </row>
    <row r="372" spans="1:1" x14ac:dyDescent="0.2">
      <c r="A372" s="15"/>
    </row>
    <row r="373" spans="1:1" x14ac:dyDescent="0.2">
      <c r="A373" s="15"/>
    </row>
    <row r="374" spans="1:1" x14ac:dyDescent="0.2">
      <c r="A374" s="15"/>
    </row>
    <row r="375" spans="1:1" x14ac:dyDescent="0.2">
      <c r="A375" s="15"/>
    </row>
    <row r="376" spans="1:1" x14ac:dyDescent="0.2">
      <c r="A376" s="15"/>
    </row>
    <row r="377" spans="1:1" x14ac:dyDescent="0.2">
      <c r="A377" s="15"/>
    </row>
    <row r="378" spans="1:1" x14ac:dyDescent="0.2">
      <c r="A378" s="15"/>
    </row>
    <row r="379" spans="1:1" x14ac:dyDescent="0.2">
      <c r="A379" s="15"/>
    </row>
    <row r="380" spans="1:1" x14ac:dyDescent="0.2">
      <c r="A380" s="15"/>
    </row>
    <row r="381" spans="1:1" x14ac:dyDescent="0.2">
      <c r="A381" s="15"/>
    </row>
    <row r="382" spans="1:1" x14ac:dyDescent="0.2">
      <c r="A382" s="15"/>
    </row>
    <row r="383" spans="1:1" x14ac:dyDescent="0.2">
      <c r="A383" s="15"/>
    </row>
    <row r="384" spans="1:1" x14ac:dyDescent="0.2">
      <c r="A384" s="15"/>
    </row>
    <row r="385" spans="1:1" x14ac:dyDescent="0.2">
      <c r="A385" s="15"/>
    </row>
    <row r="386" spans="1:1" x14ac:dyDescent="0.2">
      <c r="A386" s="17"/>
    </row>
    <row r="387" spans="1:1" x14ac:dyDescent="0.2">
      <c r="A387" s="17"/>
    </row>
    <row r="388" spans="1:1" x14ac:dyDescent="0.2">
      <c r="A388" s="17"/>
    </row>
    <row r="389" spans="1:1" x14ac:dyDescent="0.2">
      <c r="A389" s="17"/>
    </row>
    <row r="390" spans="1:1" x14ac:dyDescent="0.2">
      <c r="A390" s="17"/>
    </row>
    <row r="391" spans="1:1" x14ac:dyDescent="0.2">
      <c r="A391" s="17"/>
    </row>
    <row r="392" spans="1:1" x14ac:dyDescent="0.2">
      <c r="A392" s="17"/>
    </row>
    <row r="393" spans="1:1" x14ac:dyDescent="0.2">
      <c r="A393" s="17"/>
    </row>
    <row r="394" spans="1:1" x14ac:dyDescent="0.2">
      <c r="A394" s="17"/>
    </row>
    <row r="395" spans="1:1" x14ac:dyDescent="0.2">
      <c r="A395" s="17"/>
    </row>
    <row r="396" spans="1:1" x14ac:dyDescent="0.2">
      <c r="A396" s="17"/>
    </row>
    <row r="397" spans="1:1" x14ac:dyDescent="0.2">
      <c r="A397" s="17"/>
    </row>
    <row r="398" spans="1:1" x14ac:dyDescent="0.2">
      <c r="A398" s="17"/>
    </row>
    <row r="399" spans="1:1" x14ac:dyDescent="0.2">
      <c r="A399" s="17"/>
    </row>
    <row r="400" spans="1:1" x14ac:dyDescent="0.2">
      <c r="A400" s="17"/>
    </row>
    <row r="401" spans="1:1" x14ac:dyDescent="0.2">
      <c r="A401" s="17"/>
    </row>
    <row r="402" spans="1:1" x14ac:dyDescent="0.2">
      <c r="A402" s="17"/>
    </row>
    <row r="403" spans="1:1" x14ac:dyDescent="0.2">
      <c r="A403" s="17"/>
    </row>
    <row r="404" spans="1:1" x14ac:dyDescent="0.2">
      <c r="A404" s="17"/>
    </row>
    <row r="405" spans="1:1" x14ac:dyDescent="0.2">
      <c r="A405" s="17"/>
    </row>
    <row r="406" spans="1:1" x14ac:dyDescent="0.2">
      <c r="A406" s="17"/>
    </row>
    <row r="407" spans="1:1" x14ac:dyDescent="0.2">
      <c r="A407" s="17"/>
    </row>
    <row r="408" spans="1:1" x14ac:dyDescent="0.2">
      <c r="A408" s="17"/>
    </row>
    <row r="409" spans="1:1" x14ac:dyDescent="0.2">
      <c r="A409" s="17"/>
    </row>
    <row r="410" spans="1:1" x14ac:dyDescent="0.2">
      <c r="A410" s="17"/>
    </row>
    <row r="411" spans="1:1" x14ac:dyDescent="0.2">
      <c r="A411" s="17"/>
    </row>
    <row r="412" spans="1:1" x14ac:dyDescent="0.2">
      <c r="A412" s="17"/>
    </row>
    <row r="413" spans="1:1" x14ac:dyDescent="0.2">
      <c r="A413" s="17"/>
    </row>
    <row r="414" spans="1:1" x14ac:dyDescent="0.2">
      <c r="A414" s="17"/>
    </row>
    <row r="415" spans="1:1" x14ac:dyDescent="0.2">
      <c r="A415" s="17"/>
    </row>
    <row r="416" spans="1:1" x14ac:dyDescent="0.2">
      <c r="A416" s="17"/>
    </row>
    <row r="417" spans="1:1" x14ac:dyDescent="0.2">
      <c r="A417" s="17"/>
    </row>
    <row r="418" spans="1:1" x14ac:dyDescent="0.2">
      <c r="A418" s="17"/>
    </row>
    <row r="419" spans="1:1" x14ac:dyDescent="0.2">
      <c r="A419" s="17"/>
    </row>
    <row r="420" spans="1:1" x14ac:dyDescent="0.2">
      <c r="A420" s="17"/>
    </row>
    <row r="421" spans="1:1" x14ac:dyDescent="0.2">
      <c r="A421" s="17"/>
    </row>
    <row r="422" spans="1:1" x14ac:dyDescent="0.2">
      <c r="A422" s="17"/>
    </row>
    <row r="423" spans="1:1" x14ac:dyDescent="0.2">
      <c r="A423" s="17"/>
    </row>
    <row r="424" spans="1:1" x14ac:dyDescent="0.2">
      <c r="A424" s="17"/>
    </row>
    <row r="425" spans="1:1" x14ac:dyDescent="0.2">
      <c r="A425" s="17"/>
    </row>
    <row r="426" spans="1:1" x14ac:dyDescent="0.2">
      <c r="A426" s="17"/>
    </row>
    <row r="427" spans="1:1" x14ac:dyDescent="0.2">
      <c r="A427" s="17"/>
    </row>
    <row r="428" spans="1:1" x14ac:dyDescent="0.2">
      <c r="A428" s="17"/>
    </row>
    <row r="429" spans="1:1" x14ac:dyDescent="0.2">
      <c r="A429" s="17"/>
    </row>
    <row r="430" spans="1:1" x14ac:dyDescent="0.2">
      <c r="A430" s="17"/>
    </row>
    <row r="431" spans="1:1" x14ac:dyDescent="0.2">
      <c r="A431" s="17"/>
    </row>
    <row r="432" spans="1:1" x14ac:dyDescent="0.2">
      <c r="A432" s="17"/>
    </row>
    <row r="433" spans="1:1" x14ac:dyDescent="0.2">
      <c r="A433" s="17"/>
    </row>
    <row r="434" spans="1:1" x14ac:dyDescent="0.2">
      <c r="A434" s="17"/>
    </row>
    <row r="435" spans="1:1" x14ac:dyDescent="0.2">
      <c r="A435" s="17"/>
    </row>
    <row r="436" spans="1:1" x14ac:dyDescent="0.2">
      <c r="A436" s="17"/>
    </row>
    <row r="437" spans="1:1" x14ac:dyDescent="0.2">
      <c r="A437" s="17"/>
    </row>
    <row r="438" spans="1:1" x14ac:dyDescent="0.2">
      <c r="A438" s="17"/>
    </row>
    <row r="439" spans="1:1" x14ac:dyDescent="0.2">
      <c r="A439" s="17"/>
    </row>
    <row r="440" spans="1:1" x14ac:dyDescent="0.2">
      <c r="A440" s="17"/>
    </row>
    <row r="441" spans="1:1" x14ac:dyDescent="0.2">
      <c r="A441" s="17"/>
    </row>
    <row r="442" spans="1:1" x14ac:dyDescent="0.2">
      <c r="A442" s="17"/>
    </row>
    <row r="443" spans="1:1" x14ac:dyDescent="0.2">
      <c r="A443" s="17"/>
    </row>
    <row r="444" spans="1:1" x14ac:dyDescent="0.2">
      <c r="A444" s="17"/>
    </row>
    <row r="445" spans="1:1" x14ac:dyDescent="0.2">
      <c r="A445" s="17"/>
    </row>
    <row r="446" spans="1:1" x14ac:dyDescent="0.2">
      <c r="A446" s="17"/>
    </row>
    <row r="447" spans="1:1" x14ac:dyDescent="0.2">
      <c r="A447" s="17"/>
    </row>
    <row r="448" spans="1:1" x14ac:dyDescent="0.2">
      <c r="A448" s="17"/>
    </row>
    <row r="449" spans="1:1" x14ac:dyDescent="0.2">
      <c r="A449" s="17"/>
    </row>
    <row r="450" spans="1:1" x14ac:dyDescent="0.2">
      <c r="A450" s="17"/>
    </row>
    <row r="451" spans="1:1" x14ac:dyDescent="0.2">
      <c r="A451" s="17"/>
    </row>
    <row r="452" spans="1:1" x14ac:dyDescent="0.2">
      <c r="A452" s="17"/>
    </row>
    <row r="453" spans="1:1" x14ac:dyDescent="0.2">
      <c r="A453" s="17"/>
    </row>
    <row r="454" spans="1:1" x14ac:dyDescent="0.2">
      <c r="A454" s="17"/>
    </row>
    <row r="455" spans="1:1" x14ac:dyDescent="0.2">
      <c r="A455" s="17"/>
    </row>
    <row r="456" spans="1:1" x14ac:dyDescent="0.2">
      <c r="A456" s="17"/>
    </row>
    <row r="457" spans="1:1" x14ac:dyDescent="0.2">
      <c r="A457" s="17"/>
    </row>
    <row r="458" spans="1:1" x14ac:dyDescent="0.2">
      <c r="A458" s="17"/>
    </row>
    <row r="459" spans="1:1" x14ac:dyDescent="0.2">
      <c r="A459" s="17"/>
    </row>
    <row r="460" spans="1:1" x14ac:dyDescent="0.2">
      <c r="A460" s="17"/>
    </row>
    <row r="461" spans="1:1" x14ac:dyDescent="0.2">
      <c r="A461" s="17"/>
    </row>
    <row r="462" spans="1:1" x14ac:dyDescent="0.2">
      <c r="A462" s="17"/>
    </row>
    <row r="463" spans="1:1" x14ac:dyDescent="0.2">
      <c r="A463" s="17"/>
    </row>
    <row r="464" spans="1:1" x14ac:dyDescent="0.2">
      <c r="A464" s="17"/>
    </row>
    <row r="465" spans="1:1" x14ac:dyDescent="0.2">
      <c r="A465" s="17"/>
    </row>
    <row r="466" spans="1:1" x14ac:dyDescent="0.2">
      <c r="A466" s="17"/>
    </row>
    <row r="467" spans="1:1" x14ac:dyDescent="0.2">
      <c r="A467" s="17"/>
    </row>
    <row r="468" spans="1:1" x14ac:dyDescent="0.2">
      <c r="A468" s="17"/>
    </row>
    <row r="469" spans="1:1" x14ac:dyDescent="0.2">
      <c r="A469" s="17"/>
    </row>
    <row r="470" spans="1:1" x14ac:dyDescent="0.2">
      <c r="A470" s="17"/>
    </row>
    <row r="471" spans="1:1" x14ac:dyDescent="0.2">
      <c r="A471" s="17"/>
    </row>
    <row r="472" spans="1:1" x14ac:dyDescent="0.2">
      <c r="A472" s="17"/>
    </row>
    <row r="473" spans="1:1" x14ac:dyDescent="0.2">
      <c r="A473" s="17"/>
    </row>
    <row r="474" spans="1:1" x14ac:dyDescent="0.2">
      <c r="A474" s="17"/>
    </row>
    <row r="475" spans="1:1" x14ac:dyDescent="0.2">
      <c r="A475" s="17"/>
    </row>
    <row r="476" spans="1:1" x14ac:dyDescent="0.2">
      <c r="A476" s="17"/>
    </row>
    <row r="477" spans="1:1" x14ac:dyDescent="0.2">
      <c r="A477" s="17"/>
    </row>
    <row r="478" spans="1:1" x14ac:dyDescent="0.2">
      <c r="A478" s="17"/>
    </row>
    <row r="479" spans="1:1" x14ac:dyDescent="0.2">
      <c r="A479" s="17"/>
    </row>
    <row r="480" spans="1:1" x14ac:dyDescent="0.2">
      <c r="A480" s="17"/>
    </row>
    <row r="481" spans="1:1" x14ac:dyDescent="0.2">
      <c r="A481" s="17"/>
    </row>
    <row r="482" spans="1:1" x14ac:dyDescent="0.2">
      <c r="A482" s="17"/>
    </row>
    <row r="483" spans="1:1" x14ac:dyDescent="0.2">
      <c r="A483" s="17"/>
    </row>
    <row r="484" spans="1:1" x14ac:dyDescent="0.2">
      <c r="A484" s="17"/>
    </row>
    <row r="485" spans="1:1" x14ac:dyDescent="0.2">
      <c r="A485" s="17"/>
    </row>
    <row r="486" spans="1:1" x14ac:dyDescent="0.2">
      <c r="A486" s="17"/>
    </row>
    <row r="487" spans="1:1" x14ac:dyDescent="0.2">
      <c r="A487" s="17"/>
    </row>
    <row r="488" spans="1:1" x14ac:dyDescent="0.2">
      <c r="A488" s="17"/>
    </row>
    <row r="489" spans="1:1" x14ac:dyDescent="0.2">
      <c r="A489" s="17"/>
    </row>
    <row r="490" spans="1:1" x14ac:dyDescent="0.2">
      <c r="A490" s="17"/>
    </row>
    <row r="491" spans="1:1" x14ac:dyDescent="0.2">
      <c r="A491" s="17"/>
    </row>
    <row r="492" spans="1:1" x14ac:dyDescent="0.2">
      <c r="A492" s="17"/>
    </row>
    <row r="493" spans="1:1" x14ac:dyDescent="0.2">
      <c r="A493" s="17"/>
    </row>
    <row r="494" spans="1:1" x14ac:dyDescent="0.2">
      <c r="A494" s="17"/>
    </row>
    <row r="495" spans="1:1" x14ac:dyDescent="0.2">
      <c r="A495" s="17"/>
    </row>
    <row r="496" spans="1:1" x14ac:dyDescent="0.2">
      <c r="A496" s="17"/>
    </row>
    <row r="497" spans="1:1" x14ac:dyDescent="0.2">
      <c r="A497" s="17"/>
    </row>
    <row r="498" spans="1:1" x14ac:dyDescent="0.2">
      <c r="A498" s="17"/>
    </row>
    <row r="499" spans="1:1" x14ac:dyDescent="0.2">
      <c r="A499" s="17"/>
    </row>
    <row r="500" spans="1:1" x14ac:dyDescent="0.2">
      <c r="A500" s="17"/>
    </row>
    <row r="501" spans="1:1" x14ac:dyDescent="0.2">
      <c r="A501" s="17"/>
    </row>
    <row r="502" spans="1:1" x14ac:dyDescent="0.2">
      <c r="A502" s="17"/>
    </row>
    <row r="503" spans="1:1" x14ac:dyDescent="0.2">
      <c r="A503" s="17"/>
    </row>
    <row r="504" spans="1:1" x14ac:dyDescent="0.2">
      <c r="A504" s="17"/>
    </row>
    <row r="505" spans="1:1" x14ac:dyDescent="0.2">
      <c r="A505" s="17"/>
    </row>
    <row r="506" spans="1:1" x14ac:dyDescent="0.2">
      <c r="A506" s="17"/>
    </row>
    <row r="507" spans="1:1" x14ac:dyDescent="0.2">
      <c r="A507" s="17"/>
    </row>
    <row r="508" spans="1:1" x14ac:dyDescent="0.2">
      <c r="A508" s="17"/>
    </row>
    <row r="509" spans="1:1" x14ac:dyDescent="0.2">
      <c r="A509" s="17"/>
    </row>
    <row r="510" spans="1:1" x14ac:dyDescent="0.2">
      <c r="A510" s="17"/>
    </row>
    <row r="511" spans="1:1" x14ac:dyDescent="0.2">
      <c r="A511" s="17"/>
    </row>
    <row r="512" spans="1:1" x14ac:dyDescent="0.2">
      <c r="A512" s="17"/>
    </row>
    <row r="513" spans="1:1" x14ac:dyDescent="0.2">
      <c r="A513" s="17"/>
    </row>
    <row r="514" spans="1:1" x14ac:dyDescent="0.2">
      <c r="A514" s="17"/>
    </row>
    <row r="515" spans="1:1" x14ac:dyDescent="0.2">
      <c r="A515" s="17"/>
    </row>
    <row r="516" spans="1:1" x14ac:dyDescent="0.2">
      <c r="A516" s="17"/>
    </row>
    <row r="517" spans="1:1" x14ac:dyDescent="0.2">
      <c r="A517" s="17"/>
    </row>
    <row r="518" spans="1:1" x14ac:dyDescent="0.2">
      <c r="A518" s="17"/>
    </row>
    <row r="519" spans="1:1" x14ac:dyDescent="0.2">
      <c r="A519" s="17"/>
    </row>
    <row r="520" spans="1:1" x14ac:dyDescent="0.2">
      <c r="A520" s="17"/>
    </row>
    <row r="521" spans="1:1" x14ac:dyDescent="0.2">
      <c r="A521" s="17"/>
    </row>
    <row r="522" spans="1:1" x14ac:dyDescent="0.2">
      <c r="A522" s="17"/>
    </row>
    <row r="523" spans="1:1" x14ac:dyDescent="0.2">
      <c r="A523" s="17"/>
    </row>
    <row r="524" spans="1:1" x14ac:dyDescent="0.2">
      <c r="A524" s="17"/>
    </row>
    <row r="525" spans="1:1" x14ac:dyDescent="0.2">
      <c r="A525" s="17"/>
    </row>
    <row r="526" spans="1:1" x14ac:dyDescent="0.2">
      <c r="A526" s="17"/>
    </row>
    <row r="527" spans="1:1" x14ac:dyDescent="0.2">
      <c r="A527" s="17"/>
    </row>
    <row r="528" spans="1:1" x14ac:dyDescent="0.2">
      <c r="A528" s="17"/>
    </row>
    <row r="529" spans="1:1" x14ac:dyDescent="0.2">
      <c r="A529" s="17"/>
    </row>
    <row r="530" spans="1:1" x14ac:dyDescent="0.2">
      <c r="A530" s="17"/>
    </row>
    <row r="531" spans="1:1" x14ac:dyDescent="0.2">
      <c r="A531" s="17"/>
    </row>
    <row r="532" spans="1:1" x14ac:dyDescent="0.2">
      <c r="A532" s="17"/>
    </row>
    <row r="533" spans="1:1" x14ac:dyDescent="0.2">
      <c r="A533" s="17"/>
    </row>
    <row r="534" spans="1:1" x14ac:dyDescent="0.2">
      <c r="A534" s="17"/>
    </row>
    <row r="535" spans="1:1" x14ac:dyDescent="0.2">
      <c r="A535" s="17"/>
    </row>
    <row r="536" spans="1:1" x14ac:dyDescent="0.2">
      <c r="A536" s="17"/>
    </row>
    <row r="537" spans="1:1" x14ac:dyDescent="0.2">
      <c r="A537" s="17"/>
    </row>
    <row r="538" spans="1:1" x14ac:dyDescent="0.2">
      <c r="A538" s="17"/>
    </row>
    <row r="539" spans="1:1" x14ac:dyDescent="0.2">
      <c r="A539" s="17"/>
    </row>
    <row r="540" spans="1:1" x14ac:dyDescent="0.2">
      <c r="A540" s="17"/>
    </row>
    <row r="541" spans="1:1" x14ac:dyDescent="0.2">
      <c r="A541" s="17"/>
    </row>
    <row r="542" spans="1:1" x14ac:dyDescent="0.2">
      <c r="A542" s="17"/>
    </row>
    <row r="543" spans="1:1" x14ac:dyDescent="0.2">
      <c r="A543" s="17"/>
    </row>
    <row r="544" spans="1:1" x14ac:dyDescent="0.2">
      <c r="A544" s="17"/>
    </row>
    <row r="545" spans="1:1" x14ac:dyDescent="0.2">
      <c r="A545" s="17"/>
    </row>
    <row r="546" spans="1:1" x14ac:dyDescent="0.2">
      <c r="A546" s="17"/>
    </row>
    <row r="547" spans="1:1" x14ac:dyDescent="0.2">
      <c r="A547" s="17"/>
    </row>
    <row r="548" spans="1:1" x14ac:dyDescent="0.2">
      <c r="A548" s="17"/>
    </row>
    <row r="549" spans="1:1" x14ac:dyDescent="0.2">
      <c r="A549" s="17"/>
    </row>
    <row r="550" spans="1:1" x14ac:dyDescent="0.2">
      <c r="A550" s="17"/>
    </row>
    <row r="551" spans="1:1" x14ac:dyDescent="0.2">
      <c r="A551" s="17"/>
    </row>
    <row r="552" spans="1:1" x14ac:dyDescent="0.2">
      <c r="A552" s="17"/>
    </row>
    <row r="553" spans="1:1" x14ac:dyDescent="0.2">
      <c r="A553" s="17"/>
    </row>
    <row r="554" spans="1:1" x14ac:dyDescent="0.2">
      <c r="A554" s="17"/>
    </row>
    <row r="555" spans="1:1" x14ac:dyDescent="0.2">
      <c r="A555" s="17"/>
    </row>
    <row r="556" spans="1:1" x14ac:dyDescent="0.2">
      <c r="A556" s="17"/>
    </row>
    <row r="557" spans="1:1" x14ac:dyDescent="0.2">
      <c r="A557" s="17"/>
    </row>
    <row r="558" spans="1:1" x14ac:dyDescent="0.2">
      <c r="A558" s="17"/>
    </row>
    <row r="559" spans="1:1" x14ac:dyDescent="0.2">
      <c r="A559" s="17"/>
    </row>
    <row r="560" spans="1:1" x14ac:dyDescent="0.2">
      <c r="A560" s="17"/>
    </row>
    <row r="561" spans="1:1" x14ac:dyDescent="0.2">
      <c r="A561" s="17"/>
    </row>
    <row r="562" spans="1:1" x14ac:dyDescent="0.2">
      <c r="A562" s="17"/>
    </row>
    <row r="563" spans="1:1" x14ac:dyDescent="0.2">
      <c r="A563" s="17"/>
    </row>
    <row r="564" spans="1:1" x14ac:dyDescent="0.2">
      <c r="A564" s="17"/>
    </row>
    <row r="565" spans="1:1" x14ac:dyDescent="0.2">
      <c r="A565" s="17"/>
    </row>
    <row r="566" spans="1:1" x14ac:dyDescent="0.2">
      <c r="A566" s="17"/>
    </row>
    <row r="567" spans="1:1" x14ac:dyDescent="0.2">
      <c r="A567" s="17"/>
    </row>
    <row r="568" spans="1:1" x14ac:dyDescent="0.2">
      <c r="A568" s="17"/>
    </row>
    <row r="569" spans="1:1" x14ac:dyDescent="0.2">
      <c r="A569" s="17"/>
    </row>
    <row r="570" spans="1:1" x14ac:dyDescent="0.2">
      <c r="A570" s="17"/>
    </row>
    <row r="571" spans="1:1" x14ac:dyDescent="0.2">
      <c r="A571" s="17"/>
    </row>
    <row r="572" spans="1:1" x14ac:dyDescent="0.2">
      <c r="A572" s="17"/>
    </row>
    <row r="573" spans="1:1" x14ac:dyDescent="0.2">
      <c r="A573" s="17"/>
    </row>
    <row r="574" spans="1:1" x14ac:dyDescent="0.2">
      <c r="A574" s="17"/>
    </row>
    <row r="575" spans="1:1" x14ac:dyDescent="0.2">
      <c r="A575" s="17"/>
    </row>
    <row r="576" spans="1:1" x14ac:dyDescent="0.2">
      <c r="A576" s="17"/>
    </row>
    <row r="577" spans="1:1" x14ac:dyDescent="0.2">
      <c r="A577" s="17"/>
    </row>
    <row r="578" spans="1:1" x14ac:dyDescent="0.2">
      <c r="A578" s="17"/>
    </row>
    <row r="579" spans="1:1" x14ac:dyDescent="0.2">
      <c r="A579" s="17"/>
    </row>
    <row r="580" spans="1:1" x14ac:dyDescent="0.2">
      <c r="A580" s="17"/>
    </row>
    <row r="581" spans="1:1" x14ac:dyDescent="0.2">
      <c r="A581" s="17"/>
    </row>
    <row r="582" spans="1:1" x14ac:dyDescent="0.2">
      <c r="A582" s="17"/>
    </row>
    <row r="583" spans="1:1" x14ac:dyDescent="0.2">
      <c r="A583" s="17"/>
    </row>
    <row r="584" spans="1:1" x14ac:dyDescent="0.2">
      <c r="A584" s="17"/>
    </row>
    <row r="585" spans="1:1" x14ac:dyDescent="0.2">
      <c r="A585" s="17"/>
    </row>
    <row r="586" spans="1:1" x14ac:dyDescent="0.2">
      <c r="A586" s="17"/>
    </row>
    <row r="587" spans="1:1" x14ac:dyDescent="0.2">
      <c r="A587" s="17"/>
    </row>
    <row r="588" spans="1:1" x14ac:dyDescent="0.2">
      <c r="A588" s="17"/>
    </row>
    <row r="589" spans="1:1" x14ac:dyDescent="0.2">
      <c r="A589" s="17"/>
    </row>
    <row r="590" spans="1:1" x14ac:dyDescent="0.2">
      <c r="A590" s="17"/>
    </row>
    <row r="591" spans="1:1" x14ac:dyDescent="0.2">
      <c r="A591" s="17"/>
    </row>
    <row r="592" spans="1:1" x14ac:dyDescent="0.2">
      <c r="A592" s="17"/>
    </row>
    <row r="593" spans="1:1" x14ac:dyDescent="0.2">
      <c r="A593" s="17"/>
    </row>
    <row r="594" spans="1:1" x14ac:dyDescent="0.2">
      <c r="A594" s="17"/>
    </row>
    <row r="595" spans="1:1" x14ac:dyDescent="0.2">
      <c r="A595" s="17"/>
    </row>
    <row r="596" spans="1:1" x14ac:dyDescent="0.2">
      <c r="A596" s="17"/>
    </row>
    <row r="597" spans="1:1" x14ac:dyDescent="0.2">
      <c r="A597" s="17"/>
    </row>
    <row r="598" spans="1:1" x14ac:dyDescent="0.2">
      <c r="A598" s="17"/>
    </row>
    <row r="599" spans="1:1" x14ac:dyDescent="0.2">
      <c r="A599" s="17"/>
    </row>
    <row r="600" spans="1:1" x14ac:dyDescent="0.2">
      <c r="A600" s="17"/>
    </row>
    <row r="601" spans="1:1" x14ac:dyDescent="0.2">
      <c r="A601" s="17"/>
    </row>
    <row r="602" spans="1:1" x14ac:dyDescent="0.2">
      <c r="A602" s="17"/>
    </row>
    <row r="603" spans="1:1" x14ac:dyDescent="0.2">
      <c r="A603" s="17"/>
    </row>
    <row r="604" spans="1:1" x14ac:dyDescent="0.2">
      <c r="A604" s="17"/>
    </row>
    <row r="605" spans="1:1" x14ac:dyDescent="0.2">
      <c r="A605" s="17"/>
    </row>
    <row r="606" spans="1:1" x14ac:dyDescent="0.2">
      <c r="A606" s="17"/>
    </row>
    <row r="607" spans="1:1" x14ac:dyDescent="0.2">
      <c r="A607" s="17"/>
    </row>
    <row r="608" spans="1:1" x14ac:dyDescent="0.2">
      <c r="A608" s="17"/>
    </row>
    <row r="609" spans="1:1" x14ac:dyDescent="0.2">
      <c r="A609" s="17"/>
    </row>
    <row r="610" spans="1:1" x14ac:dyDescent="0.2">
      <c r="A610" s="17"/>
    </row>
    <row r="611" spans="1:1" x14ac:dyDescent="0.2">
      <c r="A611" s="17"/>
    </row>
    <row r="612" spans="1:1" x14ac:dyDescent="0.2">
      <c r="A612" s="17"/>
    </row>
    <row r="613" spans="1:1" x14ac:dyDescent="0.2">
      <c r="A613" s="17"/>
    </row>
    <row r="614" spans="1:1" x14ac:dyDescent="0.2">
      <c r="A614" s="17"/>
    </row>
    <row r="615" spans="1:1" x14ac:dyDescent="0.2">
      <c r="A615" s="17"/>
    </row>
    <row r="616" spans="1:1" x14ac:dyDescent="0.2">
      <c r="A616" s="17"/>
    </row>
    <row r="617" spans="1:1" x14ac:dyDescent="0.2">
      <c r="A617" s="17"/>
    </row>
    <row r="618" spans="1:1" x14ac:dyDescent="0.2">
      <c r="A618" s="17"/>
    </row>
    <row r="619" spans="1:1" x14ac:dyDescent="0.2">
      <c r="A619" s="17"/>
    </row>
    <row r="620" spans="1:1" x14ac:dyDescent="0.2">
      <c r="A620" s="17"/>
    </row>
    <row r="621" spans="1:1" x14ac:dyDescent="0.2">
      <c r="A621" s="17"/>
    </row>
    <row r="622" spans="1:1" x14ac:dyDescent="0.2">
      <c r="A622" s="17"/>
    </row>
    <row r="623" spans="1:1" x14ac:dyDescent="0.2">
      <c r="A623" s="17"/>
    </row>
    <row r="624" spans="1:1" x14ac:dyDescent="0.2">
      <c r="A624" s="17"/>
    </row>
    <row r="625" spans="1:1" x14ac:dyDescent="0.2">
      <c r="A625" s="17"/>
    </row>
    <row r="626" spans="1:1" x14ac:dyDescent="0.2">
      <c r="A626" s="17"/>
    </row>
    <row r="627" spans="1:1" x14ac:dyDescent="0.2">
      <c r="A627" s="1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4"/>
  <sheetViews>
    <sheetView workbookViewId="0">
      <selection activeCell="B7" sqref="B7"/>
    </sheetView>
  </sheetViews>
  <sheetFormatPr defaultRowHeight="12.75" x14ac:dyDescent="0.2"/>
  <cols>
    <col min="1" max="1" width="147.33203125" bestFit="1" customWidth="1"/>
    <col min="2" max="2" width="62.5" bestFit="1" customWidth="1"/>
  </cols>
  <sheetData>
    <row r="1" spans="1:2" ht="77.25" customHeight="1" x14ac:dyDescent="0.2">
      <c r="A1" s="58" t="s">
        <v>139</v>
      </c>
      <c r="B1" s="67" t="s">
        <v>204</v>
      </c>
    </row>
    <row r="2" spans="1:2" ht="52.5" customHeight="1" x14ac:dyDescent="0.2">
      <c r="A2" s="58" t="s">
        <v>140</v>
      </c>
      <c r="B2" s="66" t="s">
        <v>194</v>
      </c>
    </row>
    <row r="3" spans="1:2" ht="58.5" customHeight="1" x14ac:dyDescent="0.2">
      <c r="A3" t="s">
        <v>149</v>
      </c>
      <c r="B3" s="66" t="s">
        <v>214</v>
      </c>
    </row>
    <row r="4" spans="1:2" ht="59.25" customHeight="1" x14ac:dyDescent="0.2">
      <c r="A4" t="s">
        <v>150</v>
      </c>
      <c r="B4" s="66" t="s">
        <v>215</v>
      </c>
    </row>
    <row r="5" spans="1:2" ht="62.25" customHeight="1" x14ac:dyDescent="0.2">
      <c r="A5" t="s">
        <v>151</v>
      </c>
      <c r="B5" s="66" t="s">
        <v>216</v>
      </c>
    </row>
    <row r="6" spans="1:2" ht="51" x14ac:dyDescent="0.2">
      <c r="A6" t="s">
        <v>152</v>
      </c>
      <c r="B6" s="66" t="s">
        <v>217</v>
      </c>
    </row>
    <row r="7" spans="1:2" ht="63.75" x14ac:dyDescent="0.2">
      <c r="A7" s="58" t="s">
        <v>192</v>
      </c>
      <c r="B7" s="66" t="s">
        <v>218</v>
      </c>
    </row>
    <row r="8" spans="1:2" ht="66.75" customHeight="1" x14ac:dyDescent="0.2">
      <c r="A8" s="58" t="s">
        <v>193</v>
      </c>
      <c r="B8" s="66" t="s">
        <v>219</v>
      </c>
    </row>
    <row r="9" spans="1:2" x14ac:dyDescent="0.2">
      <c r="A9" s="65" t="s">
        <v>160</v>
      </c>
    </row>
    <row r="10" spans="1:2" x14ac:dyDescent="0.2">
      <c r="A10" s="65" t="s">
        <v>160</v>
      </c>
    </row>
    <row r="11" spans="1:2" ht="165.75" x14ac:dyDescent="0.2">
      <c r="A11" s="77" t="s">
        <v>242</v>
      </c>
      <c r="B11" s="66" t="s">
        <v>243</v>
      </c>
    </row>
    <row r="12" spans="1:2" ht="191.25" x14ac:dyDescent="0.2">
      <c r="A12" s="58" t="s">
        <v>161</v>
      </c>
      <c r="B12" s="78" t="s">
        <v>203</v>
      </c>
    </row>
    <row r="13" spans="1:2" ht="125.25" customHeight="1" x14ac:dyDescent="0.2">
      <c r="A13" s="58" t="s">
        <v>162</v>
      </c>
      <c r="B13" s="80" t="s">
        <v>231</v>
      </c>
    </row>
    <row r="14" spans="1:2" ht="196.5" customHeight="1" x14ac:dyDescent="0.2">
      <c r="A14" s="58" t="s">
        <v>163</v>
      </c>
      <c r="B14" s="67" t="s">
        <v>202</v>
      </c>
    </row>
    <row r="15" spans="1:2" ht="219.75" x14ac:dyDescent="0.2">
      <c r="A15" s="58" t="s">
        <v>164</v>
      </c>
      <c r="B15" s="67" t="s">
        <v>195</v>
      </c>
    </row>
    <row r="16" spans="1:2" ht="232.5" x14ac:dyDescent="0.2">
      <c r="A16" s="58" t="s">
        <v>165</v>
      </c>
      <c r="B16" s="67" t="s">
        <v>232</v>
      </c>
    </row>
    <row r="17" spans="1:25" ht="159.75" customHeight="1" x14ac:dyDescent="0.2">
      <c r="A17" s="58" t="s">
        <v>166</v>
      </c>
      <c r="B17" s="67" t="s">
        <v>233</v>
      </c>
    </row>
    <row r="18" spans="1:25" ht="140.25" x14ac:dyDescent="0.2">
      <c r="A18" s="58" t="s">
        <v>167</v>
      </c>
      <c r="B18" s="67" t="s">
        <v>234</v>
      </c>
    </row>
    <row r="19" spans="1:25" ht="178.5" x14ac:dyDescent="0.2">
      <c r="A19" s="58" t="s">
        <v>168</v>
      </c>
      <c r="B19" s="69" t="s">
        <v>205</v>
      </c>
      <c r="C19" s="67"/>
      <c r="D19" s="67"/>
      <c r="E19" s="67"/>
      <c r="F19" s="67"/>
      <c r="G19" s="67"/>
      <c r="H19" s="67"/>
      <c r="I19" s="67"/>
      <c r="J19" s="67"/>
      <c r="K19" s="66"/>
      <c r="L19" s="66"/>
      <c r="M19" s="66"/>
      <c r="N19" s="66"/>
      <c r="O19" s="66"/>
      <c r="P19" s="66"/>
      <c r="Q19" s="66"/>
      <c r="R19" s="66"/>
      <c r="S19" s="66"/>
      <c r="T19" s="66"/>
      <c r="U19" s="66"/>
      <c r="V19" s="66"/>
      <c r="W19" s="66"/>
      <c r="X19" s="66"/>
      <c r="Y19" s="66"/>
    </row>
    <row r="20" spans="1:25" ht="165.75" x14ac:dyDescent="0.2">
      <c r="A20" s="58" t="s">
        <v>169</v>
      </c>
      <c r="B20" s="69" t="s">
        <v>201</v>
      </c>
      <c r="C20" s="67"/>
      <c r="D20" s="67"/>
      <c r="E20" s="67"/>
      <c r="F20" s="67"/>
      <c r="G20" s="67"/>
      <c r="H20" s="67"/>
      <c r="I20" s="67"/>
      <c r="J20" s="67"/>
      <c r="K20" s="66"/>
      <c r="L20" s="66"/>
      <c r="M20" s="66"/>
      <c r="N20" s="66"/>
      <c r="O20" s="66"/>
      <c r="P20" s="66"/>
      <c r="Q20" s="66"/>
      <c r="R20" s="66"/>
      <c r="S20" s="66"/>
      <c r="T20" s="66"/>
      <c r="U20" s="66"/>
      <c r="V20" s="66"/>
      <c r="W20" s="66"/>
      <c r="X20" s="66"/>
      <c r="Y20" s="66"/>
    </row>
    <row r="21" spans="1:25" ht="140.25" x14ac:dyDescent="0.2">
      <c r="A21" s="58" t="s">
        <v>170</v>
      </c>
      <c r="B21" s="70" t="s">
        <v>196</v>
      </c>
      <c r="C21" s="67"/>
      <c r="D21" s="67"/>
      <c r="E21" s="67"/>
      <c r="F21" s="67"/>
      <c r="G21" s="67"/>
      <c r="H21" s="67"/>
      <c r="I21" s="67"/>
      <c r="J21" s="67"/>
      <c r="K21" s="66"/>
      <c r="L21" s="66"/>
      <c r="M21" s="66"/>
      <c r="N21" s="66"/>
      <c r="O21" s="66"/>
      <c r="P21" s="66"/>
      <c r="Q21" s="66"/>
      <c r="R21" s="66"/>
      <c r="S21" s="66"/>
      <c r="T21" s="66"/>
      <c r="U21" s="66"/>
      <c r="V21" s="66"/>
      <c r="W21" s="66"/>
      <c r="X21" s="66"/>
      <c r="Y21" s="66"/>
    </row>
    <row r="22" spans="1:25" ht="141" customHeight="1" x14ac:dyDescent="0.2">
      <c r="A22" s="58" t="s">
        <v>197</v>
      </c>
      <c r="B22" s="71" t="s">
        <v>198</v>
      </c>
      <c r="C22" s="67"/>
      <c r="D22" s="67"/>
      <c r="E22" s="67"/>
      <c r="F22" s="67"/>
      <c r="G22" s="67"/>
      <c r="H22" s="67"/>
      <c r="I22" s="67"/>
      <c r="J22" s="67"/>
      <c r="K22" s="66"/>
      <c r="L22" s="66"/>
      <c r="M22" s="66"/>
      <c r="N22" s="66"/>
      <c r="O22" s="66"/>
      <c r="P22" s="66"/>
      <c r="Q22" s="66"/>
      <c r="R22" s="66"/>
      <c r="S22" s="66"/>
      <c r="T22" s="66"/>
      <c r="U22" s="66"/>
      <c r="V22" s="66"/>
      <c r="W22" s="66"/>
      <c r="X22" s="66"/>
      <c r="Y22" s="66"/>
    </row>
    <row r="23" spans="1:25" ht="191.25" x14ac:dyDescent="0.2">
      <c r="A23" s="58" t="s">
        <v>171</v>
      </c>
      <c r="B23" s="72" t="s">
        <v>199</v>
      </c>
      <c r="C23" s="67"/>
      <c r="D23" s="67"/>
      <c r="E23" s="67"/>
      <c r="F23" s="67"/>
      <c r="G23" s="67"/>
      <c r="H23" s="67"/>
      <c r="I23" s="67"/>
      <c r="J23" s="67"/>
      <c r="K23" s="66"/>
      <c r="L23" s="66"/>
      <c r="M23" s="66"/>
      <c r="N23" s="66"/>
      <c r="O23" s="66"/>
      <c r="P23" s="66"/>
      <c r="Q23" s="66"/>
      <c r="R23" s="66"/>
      <c r="S23" s="66"/>
      <c r="T23" s="66"/>
      <c r="U23" s="66"/>
      <c r="V23" s="66"/>
      <c r="W23" s="66"/>
      <c r="X23" s="66"/>
      <c r="Y23" s="66"/>
    </row>
    <row r="24" spans="1:25" ht="162.75" customHeight="1" x14ac:dyDescent="0.2">
      <c r="A24" s="58" t="s">
        <v>172</v>
      </c>
      <c r="B24" s="73" t="s">
        <v>200</v>
      </c>
      <c r="C24" s="67"/>
      <c r="D24" s="67"/>
      <c r="E24" s="67"/>
      <c r="F24" s="67"/>
      <c r="G24" s="67"/>
      <c r="H24" s="67"/>
      <c r="I24" s="67"/>
      <c r="J24" s="67"/>
      <c r="K24" s="66"/>
      <c r="L24" s="66"/>
      <c r="M24" s="66"/>
      <c r="N24" s="66"/>
      <c r="O24" s="66"/>
      <c r="P24" s="66"/>
      <c r="Q24" s="66"/>
      <c r="R24" s="66"/>
      <c r="S24" s="66"/>
      <c r="T24" s="66"/>
      <c r="U24" s="66"/>
      <c r="V24" s="66"/>
      <c r="W24" s="66"/>
      <c r="X24" s="66"/>
      <c r="Y24" s="66"/>
    </row>
    <row r="25" spans="1:25" ht="114.75" x14ac:dyDescent="0.2">
      <c r="A25" s="58" t="s">
        <v>173</v>
      </c>
      <c r="B25" s="73" t="s">
        <v>206</v>
      </c>
      <c r="C25" s="67"/>
      <c r="D25" s="67"/>
      <c r="E25" s="67"/>
      <c r="F25" s="67"/>
      <c r="G25" s="67"/>
      <c r="H25" s="67"/>
      <c r="I25" s="67"/>
      <c r="J25" s="67"/>
      <c r="K25" s="66"/>
      <c r="L25" s="66"/>
      <c r="M25" s="66"/>
      <c r="N25" s="66"/>
      <c r="O25" s="66"/>
      <c r="P25" s="66"/>
      <c r="Q25" s="66"/>
      <c r="R25" s="66"/>
      <c r="S25" s="66"/>
      <c r="T25" s="66"/>
      <c r="U25" s="66"/>
      <c r="V25" s="66"/>
      <c r="W25" s="66"/>
      <c r="X25" s="66"/>
      <c r="Y25" s="66"/>
    </row>
    <row r="26" spans="1:25" ht="140.25" x14ac:dyDescent="0.2">
      <c r="A26" s="58" t="s">
        <v>174</v>
      </c>
      <c r="B26" s="73" t="s">
        <v>207</v>
      </c>
      <c r="C26" s="67"/>
      <c r="D26" s="67"/>
      <c r="E26" s="67"/>
      <c r="F26" s="67"/>
      <c r="G26" s="67"/>
      <c r="H26" s="67"/>
      <c r="I26" s="67"/>
      <c r="J26" s="67"/>
      <c r="K26" s="66"/>
      <c r="L26" s="66"/>
      <c r="M26" s="66"/>
      <c r="N26" s="66"/>
      <c r="O26" s="66"/>
      <c r="P26" s="66"/>
      <c r="Q26" s="66"/>
      <c r="R26" s="66"/>
      <c r="S26" s="66"/>
      <c r="T26" s="66"/>
      <c r="U26" s="66"/>
      <c r="V26" s="66"/>
      <c r="W26" s="66"/>
      <c r="X26" s="66"/>
      <c r="Y26" s="66"/>
    </row>
    <row r="27" spans="1:25" ht="242.25" x14ac:dyDescent="0.2">
      <c r="A27" s="58" t="s">
        <v>210</v>
      </c>
      <c r="B27" s="73" t="s">
        <v>209</v>
      </c>
      <c r="C27" s="68"/>
      <c r="D27" s="68"/>
      <c r="E27" s="68"/>
      <c r="F27" s="68"/>
      <c r="G27" s="68"/>
      <c r="H27" s="68"/>
      <c r="I27" s="68"/>
      <c r="J27" s="68"/>
    </row>
    <row r="28" spans="1:25" ht="127.5" x14ac:dyDescent="0.2">
      <c r="A28" s="58" t="s">
        <v>175</v>
      </c>
      <c r="B28" s="69" t="s">
        <v>208</v>
      </c>
      <c r="C28" s="68"/>
      <c r="D28" s="68"/>
      <c r="E28" s="68"/>
      <c r="F28" s="68"/>
      <c r="G28" s="68"/>
      <c r="H28" s="68"/>
      <c r="I28" s="68"/>
      <c r="J28" s="68"/>
    </row>
    <row r="29" spans="1:25" ht="114.75" x14ac:dyDescent="0.2">
      <c r="A29" s="58" t="s">
        <v>176</v>
      </c>
      <c r="B29" s="76" t="s">
        <v>221</v>
      </c>
      <c r="C29" s="68"/>
      <c r="D29" s="68"/>
      <c r="E29" s="68"/>
      <c r="F29" s="68"/>
      <c r="G29" s="68"/>
      <c r="H29" s="68"/>
      <c r="I29" s="68"/>
      <c r="J29" s="68"/>
    </row>
    <row r="30" spans="1:25" ht="200.25" customHeight="1" x14ac:dyDescent="0.2">
      <c r="A30" s="58" t="s">
        <v>178</v>
      </c>
      <c r="B30" s="67" t="s">
        <v>220</v>
      </c>
      <c r="C30" s="68"/>
      <c r="D30" s="68"/>
      <c r="E30" s="68"/>
      <c r="F30" s="68"/>
      <c r="G30" s="68"/>
      <c r="H30" s="68"/>
      <c r="I30" s="68"/>
      <c r="J30" s="68"/>
    </row>
    <row r="31" spans="1:25" ht="178.5" x14ac:dyDescent="0.2">
      <c r="A31" s="58" t="s">
        <v>177</v>
      </c>
      <c r="B31" s="76" t="s">
        <v>235</v>
      </c>
    </row>
    <row r="32" spans="1:25" ht="204" x14ac:dyDescent="0.2">
      <c r="A32" s="58" t="s">
        <v>179</v>
      </c>
      <c r="B32" s="76" t="s">
        <v>236</v>
      </c>
    </row>
    <row r="33" spans="1:2" ht="280.5" x14ac:dyDescent="0.2">
      <c r="A33" s="58" t="s">
        <v>180</v>
      </c>
      <c r="B33" s="76" t="s">
        <v>237</v>
      </c>
    </row>
    <row r="34" spans="1:2" ht="153" x14ac:dyDescent="0.2">
      <c r="A34" s="58" t="s">
        <v>181</v>
      </c>
      <c r="B34" s="76" t="s">
        <v>238</v>
      </c>
    </row>
    <row r="35" spans="1:2" ht="178.5" x14ac:dyDescent="0.2">
      <c r="A35" s="58" t="s">
        <v>182</v>
      </c>
      <c r="B35" s="76" t="s">
        <v>222</v>
      </c>
    </row>
    <row r="36" spans="1:2" ht="178.5" x14ac:dyDescent="0.2">
      <c r="A36" s="58" t="s">
        <v>183</v>
      </c>
      <c r="B36" s="76" t="s">
        <v>223</v>
      </c>
    </row>
    <row r="37" spans="1:2" ht="140.25" x14ac:dyDescent="0.2">
      <c r="A37" s="58" t="s">
        <v>184</v>
      </c>
      <c r="B37" s="76" t="s">
        <v>224</v>
      </c>
    </row>
    <row r="38" spans="1:2" ht="152.25" customHeight="1" x14ac:dyDescent="0.2">
      <c r="A38" s="58" t="s">
        <v>185</v>
      </c>
      <c r="B38" s="76" t="s">
        <v>225</v>
      </c>
    </row>
    <row r="39" spans="1:2" ht="127.5" x14ac:dyDescent="0.2">
      <c r="A39" s="58" t="s">
        <v>186</v>
      </c>
      <c r="B39" s="76" t="s">
        <v>226</v>
      </c>
    </row>
    <row r="40" spans="1:2" ht="191.25" x14ac:dyDescent="0.2">
      <c r="A40" s="58" t="s">
        <v>187</v>
      </c>
      <c r="B40" s="76" t="s">
        <v>227</v>
      </c>
    </row>
    <row r="41" spans="1:2" ht="114" customHeight="1" x14ac:dyDescent="0.2">
      <c r="A41" s="58" t="s">
        <v>188</v>
      </c>
      <c r="B41" s="76" t="s">
        <v>239</v>
      </c>
    </row>
    <row r="42" spans="1:2" ht="156" customHeight="1" x14ac:dyDescent="0.2">
      <c r="A42" s="58" t="s">
        <v>189</v>
      </c>
      <c r="B42" s="76" t="s">
        <v>228</v>
      </c>
    </row>
    <row r="43" spans="1:2" ht="140.25" x14ac:dyDescent="0.2">
      <c r="A43" s="58" t="s">
        <v>190</v>
      </c>
      <c r="B43" s="76" t="s">
        <v>229</v>
      </c>
    </row>
    <row r="44" spans="1:2" ht="216.75" x14ac:dyDescent="0.2">
      <c r="A44" s="58" t="s">
        <v>191</v>
      </c>
      <c r="B44" s="76" t="s">
        <v>230</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7"/>
  <sheetViews>
    <sheetView workbookViewId="0">
      <selection activeCell="B29" sqref="B29"/>
    </sheetView>
  </sheetViews>
  <sheetFormatPr defaultColWidth="8.83203125" defaultRowHeight="12.75" x14ac:dyDescent="0.2"/>
  <cols>
    <col min="1" max="1" width="40.83203125" customWidth="1"/>
    <col min="2" max="2" width="45.1640625" customWidth="1"/>
    <col min="3" max="3" width="28.83203125" customWidth="1"/>
  </cols>
  <sheetData>
    <row r="1" spans="1:3" ht="27" customHeight="1" x14ac:dyDescent="0.2">
      <c r="A1" s="252" t="s">
        <v>22</v>
      </c>
      <c r="B1" s="253"/>
      <c r="C1" s="254"/>
    </row>
    <row r="2" spans="1:3" x14ac:dyDescent="0.2">
      <c r="A2" s="3"/>
      <c r="B2" s="4"/>
      <c r="C2" s="5"/>
    </row>
    <row r="3" spans="1:3" ht="31.5" customHeight="1" x14ac:dyDescent="0.2">
      <c r="A3" s="6" t="s">
        <v>23</v>
      </c>
      <c r="B3" s="7" t="s">
        <v>24</v>
      </c>
      <c r="C3" s="8" t="s">
        <v>25</v>
      </c>
    </row>
    <row r="4" spans="1:3" ht="20.25" customHeight="1" x14ac:dyDescent="0.2">
      <c r="A4" s="9" t="s">
        <v>26</v>
      </c>
      <c r="B4" s="10" t="s">
        <v>27</v>
      </c>
      <c r="C4" s="11" t="s">
        <v>28</v>
      </c>
    </row>
    <row r="5" spans="1:3" ht="20.25" customHeight="1" x14ac:dyDescent="0.2">
      <c r="A5" s="9" t="s">
        <v>29</v>
      </c>
      <c r="B5" s="10" t="s">
        <v>30</v>
      </c>
      <c r="C5" s="11" t="s">
        <v>31</v>
      </c>
    </row>
    <row r="6" spans="1:3" ht="20.25" customHeight="1" x14ac:dyDescent="0.2">
      <c r="A6" s="9" t="s">
        <v>32</v>
      </c>
      <c r="B6" s="10" t="s">
        <v>33</v>
      </c>
      <c r="C6" s="11" t="s">
        <v>33</v>
      </c>
    </row>
    <row r="7" spans="1:3" ht="20.25" customHeight="1" x14ac:dyDescent="0.2">
      <c r="A7" s="9" t="s">
        <v>34</v>
      </c>
      <c r="B7" s="10" t="s">
        <v>35</v>
      </c>
      <c r="C7" s="11" t="s">
        <v>35</v>
      </c>
    </row>
    <row r="8" spans="1:3" ht="35.450000000000003" customHeight="1" x14ac:dyDescent="0.2">
      <c r="A8" s="3"/>
      <c r="B8" s="4"/>
      <c r="C8" s="5"/>
    </row>
    <row r="9" spans="1:3" ht="21.75" customHeight="1" x14ac:dyDescent="0.2">
      <c r="A9" s="255" t="s">
        <v>36</v>
      </c>
      <c r="B9" s="256"/>
      <c r="C9" s="257"/>
    </row>
    <row r="10" spans="1:3" ht="15" customHeight="1" x14ac:dyDescent="0.2">
      <c r="A10" s="258" t="s">
        <v>37</v>
      </c>
      <c r="B10" s="259"/>
      <c r="C10" s="260"/>
    </row>
    <row r="11" spans="1:3" s="1" customFormat="1" ht="28.5" customHeight="1" x14ac:dyDescent="0.2">
      <c r="A11" s="261" t="s">
        <v>38</v>
      </c>
      <c r="B11" s="262"/>
      <c r="C11" s="263"/>
    </row>
    <row r="12" spans="1:3" s="1" customFormat="1" ht="15" customHeight="1" x14ac:dyDescent="0.2">
      <c r="A12" s="3" t="s">
        <v>39</v>
      </c>
      <c r="B12" s="4"/>
      <c r="C12" s="5"/>
    </row>
    <row r="13" spans="1:3" s="2" customFormat="1" x14ac:dyDescent="0.2">
      <c r="A13" s="261" t="s">
        <v>40</v>
      </c>
      <c r="B13" s="262"/>
      <c r="C13" s="263"/>
    </row>
    <row r="14" spans="1:3" s="1" customFormat="1" ht="15" customHeight="1" x14ac:dyDescent="0.2">
      <c r="A14" s="267" t="s">
        <v>41</v>
      </c>
      <c r="B14" s="268"/>
      <c r="C14" s="269"/>
    </row>
    <row r="15" spans="1:3" s="1" customFormat="1" ht="15" customHeight="1" x14ac:dyDescent="0.2">
      <c r="A15" s="267" t="s">
        <v>42</v>
      </c>
      <c r="B15" s="268"/>
      <c r="C15" s="269"/>
    </row>
    <row r="16" spans="1:3" s="1" customFormat="1" ht="15" customHeight="1" x14ac:dyDescent="0.2">
      <c r="A16" s="3" t="s">
        <v>43</v>
      </c>
      <c r="B16" s="4"/>
      <c r="C16" s="5"/>
    </row>
    <row r="17" spans="1:3" s="1" customFormat="1" ht="15" customHeight="1" x14ac:dyDescent="0.2">
      <c r="A17" s="270"/>
      <c r="B17" s="271"/>
      <c r="C17" s="272"/>
    </row>
    <row r="18" spans="1:3" s="1" customFormat="1" ht="15" customHeight="1" x14ac:dyDescent="0.2">
      <c r="A18" s="273" t="s">
        <v>44</v>
      </c>
      <c r="B18" s="274"/>
      <c r="C18" s="275"/>
    </row>
    <row r="19" spans="1:3" s="1" customFormat="1" ht="15" customHeight="1" x14ac:dyDescent="0.2">
      <c r="A19" s="12" t="s">
        <v>45</v>
      </c>
      <c r="B19" s="13"/>
      <c r="C19" s="14"/>
    </row>
    <row r="20" spans="1:3" s="1" customFormat="1" ht="15" customHeight="1" x14ac:dyDescent="0.2">
      <c r="A20" s="12" t="s">
        <v>46</v>
      </c>
      <c r="B20" s="13"/>
      <c r="C20" s="14"/>
    </row>
    <row r="21" spans="1:3" s="1" customFormat="1" ht="15" customHeight="1" x14ac:dyDescent="0.2">
      <c r="A21" s="12" t="s">
        <v>47</v>
      </c>
      <c r="B21" s="13"/>
      <c r="C21" s="14"/>
    </row>
    <row r="22" spans="1:3" s="1" customFormat="1" ht="15" customHeight="1" x14ac:dyDescent="0.2">
      <c r="A22" s="12" t="s">
        <v>48</v>
      </c>
      <c r="B22" s="13"/>
      <c r="C22" s="14"/>
    </row>
    <row r="23" spans="1:3" s="1" customFormat="1" ht="15" customHeight="1" x14ac:dyDescent="0.2">
      <c r="A23" s="270"/>
      <c r="B23" s="271"/>
      <c r="C23" s="272"/>
    </row>
    <row r="24" spans="1:3" s="1" customFormat="1" ht="15" customHeight="1" x14ac:dyDescent="0.2">
      <c r="A24" s="264" t="s">
        <v>49</v>
      </c>
      <c r="B24" s="265"/>
      <c r="C24" s="266"/>
    </row>
    <row r="25" spans="1:3" s="1" customFormat="1" ht="15" customHeight="1" x14ac:dyDescent="0.2">
      <c r="A25" s="267" t="s">
        <v>50</v>
      </c>
      <c r="B25" s="268"/>
      <c r="C25" s="269"/>
    </row>
    <row r="26" spans="1:3" s="1" customFormat="1" ht="15" customHeight="1" x14ac:dyDescent="0.2">
      <c r="A26" s="267" t="s">
        <v>51</v>
      </c>
      <c r="B26" s="268"/>
      <c r="C26" s="269"/>
    </row>
    <row r="27" spans="1:3" s="1" customFormat="1" ht="15" customHeight="1" x14ac:dyDescent="0.2">
      <c r="A27" s="267" t="s">
        <v>52</v>
      </c>
      <c r="B27" s="268"/>
      <c r="C27" s="269"/>
    </row>
  </sheetData>
  <mergeCells count="14">
    <mergeCell ref="A24:C24"/>
    <mergeCell ref="A25:C25"/>
    <mergeCell ref="A26:C26"/>
    <mergeCell ref="A27:C27"/>
    <mergeCell ref="A14:C14"/>
    <mergeCell ref="A15:C15"/>
    <mergeCell ref="A17:C17"/>
    <mergeCell ref="A18:C18"/>
    <mergeCell ref="A23:C23"/>
    <mergeCell ref="A1:C1"/>
    <mergeCell ref="A9:C9"/>
    <mergeCell ref="A10:C10"/>
    <mergeCell ref="A11:C11"/>
    <mergeCell ref="A13:C13"/>
  </mergeCells>
  <pageMargins left="0.39370078740157499" right="0.39370078740157499" top="0.39370078740157499" bottom="0.39370078740157499" header="0" footer="0"/>
  <pageSetup paperSize="9" scale="93"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Table 2</vt:lpstr>
      <vt:lpstr>Sheet1</vt:lpstr>
      <vt:lpstr>Sheet2</vt:lpstr>
      <vt:lpstr>Sheet3</vt:lpstr>
      <vt:lpstr>Table 3</vt:lpstr>
      <vt:lpstr>'Table 2'!Print_Area</vt:lpstr>
      <vt:lpstr>'Table 3'!Print_Area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FT1539 Itinerary - Ms Himani Doshi</dc:title>
  <dc:creator>admin</dc:creator>
  <cp:lastModifiedBy>FRIENDS</cp:lastModifiedBy>
  <cp:lastPrinted>2024-01-10T11:26:00Z</cp:lastPrinted>
  <dcterms:created xsi:type="dcterms:W3CDTF">2023-06-28T07:54:00Z</dcterms:created>
  <dcterms:modified xsi:type="dcterms:W3CDTF">2025-08-19T12:29:55Z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EF7EB4FCDB0D4022BFEEC67459A411A5_12</vt:lpwstr>
  </property>
  <property fmtid="{D5CDD505-2E9C-101B-9397-08002B2CF9AE}" pid="3" name="KSOProductBuildVer">
    <vt:lpwstr>1033-12.2.0.20782</vt:lpwstr>
  </property>
</Properties>
</file>