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I:\My Drive\Bali Quote Formate\"/>
    </mc:Choice>
  </mc:AlternateContent>
  <bookViews>
    <workbookView xWindow="-120" yWindow="-120" windowWidth="15600" windowHeight="11160"/>
  </bookViews>
  <sheets>
    <sheet name="Table 2" sheetId="2" r:id="rId1"/>
    <sheet name="Sheet1" sheetId="32" r:id="rId2"/>
    <sheet name="Table 3" sheetId="31" state="hidden" r:id="rId3"/>
  </sheets>
  <definedNames>
    <definedName name="_xlnm._FilterDatabase" localSheetId="0" hidden="1">'Table 2'!$A$11:$F$14</definedName>
    <definedName name="_xlnm.Print_Area" localSheetId="0">'Table 2'!$A$2:$E$23,'Table 2'!$A$26:$E$67</definedName>
    <definedName name="_xlnm.Print_Area" localSheetId="2">'Table 3'!$A$1:$C$27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2" l="1"/>
  <c r="H18" i="2"/>
  <c r="H19" i="2"/>
  <c r="H13" i="2"/>
  <c r="H14" i="2"/>
  <c r="H15" i="2"/>
  <c r="H16" i="2"/>
  <c r="H12" i="2"/>
  <c r="I13" i="2" l="1"/>
  <c r="I14" i="2"/>
  <c r="I15" i="2"/>
  <c r="I16" i="2"/>
  <c r="I17" i="2"/>
  <c r="I18" i="2"/>
  <c r="I19" i="2"/>
  <c r="I12" i="2"/>
  <c r="G13" i="2"/>
  <c r="G14" i="2"/>
  <c r="G15" i="2"/>
  <c r="G16" i="2"/>
  <c r="G17" i="2"/>
  <c r="G18" i="2"/>
  <c r="G19" i="2"/>
  <c r="G12" i="2"/>
  <c r="I21" i="2" l="1"/>
  <c r="H21" i="2"/>
  <c r="H22" i="2" s="1"/>
  <c r="G21" i="2"/>
  <c r="G23" i="2" s="1"/>
</calcChain>
</file>

<file path=xl/sharedStrings.xml><?xml version="1.0" encoding="utf-8"?>
<sst xmlns="http://schemas.openxmlformats.org/spreadsheetml/2006/main" count="199" uniqueCount="174">
  <si>
    <t>Pick-Up Point</t>
  </si>
  <si>
    <t>PLACE</t>
  </si>
  <si>
    <t>HANOI</t>
  </si>
  <si>
    <t>DANANG</t>
  </si>
  <si>
    <t>HO CHI MINH</t>
  </si>
  <si>
    <t>PHU QUOC</t>
  </si>
  <si>
    <t>AIRPORT</t>
  </si>
  <si>
    <t>INTERNATIONAL ARRIVAL</t>
  </si>
  <si>
    <t>DOMESTIC ARRIVAL</t>
  </si>
  <si>
    <t>ARRIVAL PILLAR - 10 GF</t>
  </si>
  <si>
    <t>ARRIVAL HALL- A1</t>
  </si>
  <si>
    <t>T2 - GATE A &amp; GATE B</t>
  </si>
  <si>
    <t>T1 - GATE A,B,E</t>
  </si>
  <si>
    <t>GATE 5</t>
  </si>
  <si>
    <t>Terms &amp; Conditions | Advisory Notes</t>
  </si>
  <si>
    <t>Arrival Notes:</t>
  </si>
  <si>
    <t xml:space="preserve">➢ On the starting day of Tour, Once client local vietnameese number received then WhatsApp group will be created by us, kindly use that for any further communication.   </t>
  </si>
  <si>
    <t>➢ Guest need to proceed to the Arrival Or Exit Gate &amp; look for airport representative with guest name on Pla card.</t>
  </si>
  <si>
    <t>➢ Customer need to wait for 10-15 minutes at the arrival gate once they meet our Airport Representative, Because car park at parking point.</t>
  </si>
  <si>
    <t>➢ The maximum waiting period is 90 mins from time of flight landing.</t>
  </si>
  <si>
    <t>➢ All Tours and Transfer max waiting period is 10 min SIC basis and 30 Min on PVT Basis.</t>
  </si>
  <si>
    <t>➢ Guest need to take care of their belongings while leaving Hotel or Car, We will not be responsible for any belongings.</t>
  </si>
  <si>
    <t>Hotel Notes:</t>
  </si>
  <si>
    <t>➢ Standard Check in Time: 02:00 Pm *Early check in is subject to hotel availability &amp; hotel may charge directly to the guest.</t>
  </si>
  <si>
    <t>➢ Standard Check out Time: 11:00 Am Late checkout subject to hotel availability &amp; hotel may charge directly to the guest.</t>
  </si>
  <si>
    <t>➢ Hotel may ask for SECURITY DEPOSIT up to 200 USD Or Passport depends on the hotels policy.</t>
  </si>
  <si>
    <t>➢ For any room facilities, hotel facilities and car parking enquiries, please contact the Hotel Reception directly.</t>
  </si>
  <si>
    <t>Sightseeing Notes:</t>
  </si>
  <si>
    <t>➢ Guest are not required to carry Passport for any sightseeing.</t>
  </si>
  <si>
    <t>➢ In case of heavy traffic or raining, pick up time may vary by 30-45 mins.</t>
  </si>
  <si>
    <t>➢ For Visit to Island, all guest are advised to carry extra pair of clothes, towel and slippers.</t>
  </si>
  <si>
    <t>Exit Gate</t>
  </si>
  <si>
    <t>Meeting Point</t>
  </si>
  <si>
    <t>Remark:</t>
  </si>
  <si>
    <t>Price IncludeS:</t>
  </si>
  <si>
    <t>Price ExcludeS:</t>
  </si>
  <si>
    <t>Cancellation Policy (applied for FIT bookings only, NOT in PEAK SEASON):</t>
  </si>
  <si>
    <t>EVISA Documents required:</t>
  </si>
  <si>
    <t>Day -Date ( Approx )</t>
  </si>
  <si>
    <t>Pick-Up Time</t>
  </si>
  <si>
    <t xml:space="preserve">               Any additional expenses caused by reasons beyond our control such as natural calamities (typhoon, floods), flight delays,                                                                            rescheduling or  cancellations,accidents, medical evacuations, riots, strikes etc.</t>
  </si>
  <si>
    <t>PERIOD OF STAY</t>
  </si>
  <si>
    <t xml:space="preserve">       Travel Itinerary                 </t>
  </si>
  <si>
    <t>Remark 1 : Buy local Sim card at Arrival Airport and send us guest number on our whatsup number for communication. In any airport pickup /drop 1 bag of 20Kg luggage bag per person and 1 hand bag 7 kg per person allowed in car, if more bags extra charges pay by guest.</t>
  </si>
  <si>
    <t xml:space="preserve">Tour/Tranasfer program </t>
  </si>
  <si>
    <t>Guest Name : -- 
Guest Number : --</t>
  </si>
  <si>
    <t>              Price based on twin/triple sharing room per person. We not hold hotel rooms so it subject to availability at the time of booking confirmation from your end.</t>
  </si>
  <si>
    <t xml:space="preserve">              Prices quoted in USD and subject to change without prior notice. </t>
  </si>
  <si>
    <t xml:space="preserve">              Please be informed that the quotation does not imply or constitute availability. </t>
  </si>
  <si>
    <t xml:space="preserve">              In case if the hotel listed is unavailable, other similar class hotel shall be provided. </t>
  </si>
  <si>
    <t>              Compulsory Gala Dinner will be applied during Christmas Eve and New Year Eve</t>
  </si>
  <si>
    <t>              Transportation with air-conditioned as program PVT.</t>
  </si>
  <si>
    <t>              Tour arrival and departure airport transfers</t>
  </si>
  <si>
    <t>              Accommodation base on a twin-share basis.</t>
  </si>
  <si>
    <t>              breakfast (check-in time: 14:00/Check-out time: 12:00)</t>
  </si>
  <si>
    <t>              Mineral water 2 bottles per person per day.</t>
  </si>
  <si>
    <t>              PCR Covid test or Rapid test before arrival. Guide available where mentioned, extra days guide charge extra.</t>
  </si>
  <si>
    <t>              International airfare in &amp; out Vietnam &amp; Internal domestic airfare extra.</t>
  </si>
  <si>
    <t>              Beverages and other meals do not indicate in the program</t>
  </si>
  <si>
    <t>              Early check-in and late check-out at all hotels</t>
  </si>
  <si>
    <t xml:space="preserve">              Travel insurance in all kinds, Personal expenses (laundry, telephone, shopping...) </t>
  </si>
  <si>
    <t xml:space="preserve">              All cancellation must be made in writing </t>
  </si>
  <si>
    <t>              Any cancellation after confirmation of booking : 10% charge</t>
  </si>
  <si>
    <t>              Any cancellation between 29Days – 15 Days prior to arrival date: 75% of tour fare charge</t>
  </si>
  <si>
    <t>              Any cancellation less than 14s Days: 100% of tour fare charge</t>
  </si>
  <si>
    <t>Extra Adult &amp; Child Policy:</t>
  </si>
  <si>
    <t xml:space="preserve">            Child from &amp; above 12 years old up: 100% of adult fare</t>
  </si>
  <si>
    <t xml:space="preserve">            Child from &amp; under 11 years old sharing with 01 adult: 90% of adult fare</t>
  </si>
  <si>
    <t xml:space="preserve">            Child from &amp; under 11 years old sharing with 02 adults with extra bed: 75% of adult fare</t>
  </si>
  <si>
    <t xml:space="preserve">           Child from &amp; under 11 years old sharing with 02 adults without extra bed: 50% of adult fare</t>
  </si>
  <si>
    <t xml:space="preserve">           Child from &amp; under 02 years old sharing with 02 adults without bed: FOC</t>
  </si>
  <si>
    <t xml:space="preserve">               Indian Meal Optional Cost without transfer – 15 USD per person per meal – 17 USD per person with transfer.   (Gujarati/Kathiawadi/Punjabi/South Indian Food served) </t>
  </si>
  <si>
    <t xml:space="preserve">              All Entrance fee, Meals as mentioned in program </t>
  </si>
  <si>
    <t xml:space="preserve">              Surcharge for peak season: (23 Dec – 05 Jan), Chinese New Year (25 Jan – 5 Feb), Lebaran High Season : (28 March – 6 April), Nyepi Day (29 March)</t>
  </si>
  <si>
    <t xml:space="preserve">            INDONESIA IMMIGRATION INFORMATION LINK
https://www.indonesia.travel/gb/en/news/new-international-travel-regulations-to-enter-indonesia-as-of-29-november-2021
</t>
  </si>
  <si>
    <t xml:space="preserve">              English Speaking Driver </t>
  </si>
  <si>
    <t>              No (Transport, Activities, Service &amp; Indian Dinner) on 29 March 2025 Nyepi Day.</t>
  </si>
  <si>
    <t xml:space="preserve">             Tipping.</t>
  </si>
  <si>
    <t>TBA</t>
  </si>
  <si>
    <t xml:space="preserve">Travel Date :  </t>
  </si>
  <si>
    <t xml:space="preserve">   Total Person  = </t>
  </si>
  <si>
    <t xml:space="preserve">Breakfast At Hotel. </t>
  </si>
  <si>
    <t xml:space="preserve"> HOTEL NAME ( Not Booked )  ( With Breakfast )</t>
  </si>
  <si>
    <t>Arrival at Bali Airport - Transfer to Kuta Hotel.</t>
  </si>
  <si>
    <t>Arrival at Bali Airport - Transfer to Ubud Hotel.</t>
  </si>
  <si>
    <t>Arrival at Bali Airport - Transfer to Seminyak Hotel.</t>
  </si>
  <si>
    <t>Arrival at Bali Airport - Transfer to Nusa Dua Hotel.</t>
  </si>
  <si>
    <t>Arrival at Bali Airport - Transfer to Uluwatu Hotel.</t>
  </si>
  <si>
    <t>Arrival at Bali Airport - Transfer to Legien Hotel.</t>
  </si>
  <si>
    <t>Arrival at Bali Airport - Transfer to Jimbaran Hotel.</t>
  </si>
  <si>
    <t>Arrival at Bali Airport - Transfer to Canggu Hotel.</t>
  </si>
  <si>
    <t>Arrival at Bali Airport - Transfer to Kintamani Hotel.</t>
  </si>
  <si>
    <t>Arrival at Bali Airport - Transfer to Lovina Hotel.</t>
  </si>
  <si>
    <t>Pick up from Kuta Hotel - Bali Airport Drop</t>
  </si>
  <si>
    <t>Pick up from Ubud Hotel - Bali Airport Drop</t>
  </si>
  <si>
    <t>Pick up from Seminyak Hotel - Bali Airport Drop</t>
  </si>
  <si>
    <t>Pick up from Nusa Dua Hotel - Bali Airport Drop</t>
  </si>
  <si>
    <t>Pick up from Uluwatu Hotel - Bali Airport Drop</t>
  </si>
  <si>
    <t>Pick up from Legien Hotel - Bali Airport Drop</t>
  </si>
  <si>
    <t>Pick up from Jimbaran Hotel - Bali Airport Drop</t>
  </si>
  <si>
    <t>Pick up from Canggu Hotel - Bali Airport Drop</t>
  </si>
  <si>
    <t>Pick up from kintamani Hotel - Bali Airport Drop</t>
  </si>
  <si>
    <t>Pick up from Lovina Hotel - Bali Airport Drop</t>
  </si>
  <si>
    <t xml:space="preserve">Arrival Date : </t>
  </si>
  <si>
    <t xml:space="preserve">Departure Date :  </t>
  </si>
  <si>
    <t xml:space="preserve">                                               /  Nights </t>
  </si>
  <si>
    <t xml:space="preserve">Transport : MPV 4 Seater Pvt. Car   </t>
  </si>
  <si>
    <t>Inter-hotel Transfer : Kuta to Ubud</t>
  </si>
  <si>
    <t>Inter-hotel Transfer : Ubud to Kuta</t>
  </si>
  <si>
    <t>Inter-hotel Transfer : Kuta to Nusa Dua</t>
  </si>
  <si>
    <t>Inter-hotel Transfer : Nusa Dua to Kuta</t>
  </si>
  <si>
    <t>Inter-hotel Transfer : Kuta to Canggu</t>
  </si>
  <si>
    <t>Inter-hotel Transfer : Canggu to Kuta</t>
  </si>
  <si>
    <t>Inter-hotel Transfer : Ubud to Nusa Dua</t>
  </si>
  <si>
    <t>Inter-hotel Transfer : Nusa Dua to Ubud</t>
  </si>
  <si>
    <t>Inter-hotel Transfer : Ubud to Seminyak</t>
  </si>
  <si>
    <t>Inter-hotel Transfer : Seminyak to Ubud</t>
  </si>
  <si>
    <t>Inter-hotel Transfer : Seminyak to Nusa Dua</t>
  </si>
  <si>
    <t>Inter-hotel Transfer : Nusa Dua to Seminyak</t>
  </si>
  <si>
    <t>Inter-hotel Transfer : Kuta to Uluwatu</t>
  </si>
  <si>
    <t>Inter-hotel Transfer : Uluwatu to Kuta</t>
  </si>
  <si>
    <t>Enjoy a full-day private tour to Bedugul Temple and Tanah Lot for a stunning sunset experience - Hotel Drop</t>
  </si>
  <si>
    <t>Full Day Kintamani Tour - (Tegenungan waterfall + coffee plantation + Mount &amp; Lake Batur View  + Tegalalang rice terrace + Ubud market) - Hotel Drop</t>
  </si>
  <si>
    <t xml:space="preserve"> Full Day Kintamani Volcano Tour with Tegalallanga rice terrace - Ubud Village with coffee plantation, MY bali swing (Single Swing - Fun Adrenalin Swing - Ultimate Swing - Couple swing - Romantic Bed Swing - Family Bed Swing - Chicken Nest - Bird Nest - Sweet Love Nest - Glass Floor - Gate of Heaven) - Hotel Drop</t>
  </si>
  <si>
    <t>Full Day Bali Safari Tour - Jungle Hopper - Hotel Drop</t>
  </si>
  <si>
    <t xml:space="preserve"> Full Day Kintamani &amp; Ubud Tour with Monkey Forest ( Visit Local Art +   Mount &amp; Lake Batur View from Kintamani + coffee plantation + Tegenungan waterfall + Ubud market) - Hotel Drop</t>
  </si>
  <si>
    <t>Pick up from Hotel - Melasti Beach visit ( watersports by own ) - Uluwatu Sunset temple tour - Kecak dance - Hotel Drop</t>
  </si>
  <si>
    <t>Pick up from Hotel - Enjoy a full-day private tour to Bedugul, Ulun Danu Temple  at Breatan lake, Handara Gate -   Tanah Lot for a stunning sunset experience - Hotel Drop</t>
  </si>
  <si>
    <t>Full Day Kintamani &amp; Ubud Tour ( Visit Local Art +  Mount &amp; Lake Batur View + coffee plantation + Tegenungan waterfall + Tegalalang rice terrace + Ubud market) - Hotel Drop</t>
  </si>
  <si>
    <t>Kuta Hotel - Nusa Penida West Trip + Snorkling (Angel Billabong + Broken Beach + Kelingking Beach + Paluang Cliff ) with local lunch - Kuta Hotel Drop (2 Pax)</t>
  </si>
  <si>
    <t>Kuta Hotel - Nusa Penida West Trip + Snorkling (Angel Billabong + Broken Beach + Kelingking Beach + Paluang Cliff ) with local lunch - Kuta Hotel Drop (3  Pax)</t>
  </si>
  <si>
    <t>Kuta Hotel - Nusa Penida West Trip + Snorkling (Angel Billabong + Broken Beach + Kelingking Beach + Paluang Cliff ) with local lunch - Kuta Hotel Drop (4 Pax)</t>
  </si>
  <si>
    <t>Kuta Hotel - Nusa Penida West Trip + Snorkling (Angel Billabong + Broken Beach + Kelingking Beach + Paluang Cliff ) with local lunch - Kuta Hotel Drop (5  Pax)</t>
  </si>
  <si>
    <t>Kuta Hotel - Nusa Penida West Trip + Snorkling (Angel Billabong + Broken Beach + Kelingking Beach + Paluang Cliff ) with local lunch - Kuta Hotel Drop (1  Pax)</t>
  </si>
  <si>
    <t>Kuta Hotel - Nusa Penida West Trip (Angel Billabong + Broken Beach + Kelingking Beach + Paluang Cliff ) with local lunch - Kuta Hotel Drop (2 Pax)</t>
  </si>
  <si>
    <t>Kuta Hotel - Nusa Penida West Trip (Angel Billabong + Broken Beach + Kelingking Beach + Paluang Cliff ) with local lunch - Kuta Hotel Drop (3 Pax)</t>
  </si>
  <si>
    <t>Kuta Hotel - Nusa Penida West Trip (Angel Billabong + Broken Beach + Kelingking Beach + Paluang Cliff ) with local lunch - Kuta Hotel Drop (4 Pax)</t>
  </si>
  <si>
    <t>Kuta Hotel - Nusa Penida West Trip (Angel Billabong + Broken Beach + Kelingking Beach + Paluang Cliff ) with local lunch - Kuta Hotel Drop (5 Pax)</t>
  </si>
  <si>
    <t>Kuta Hotel - Nusa Penida West Trip (Angel Billabong + Broken Beach + Kelingking Beach + Paluang Cliff ) with local lunch - Kuta Hotel Drop (1 Pax)</t>
  </si>
  <si>
    <t>Kuta Hotel - Nusa Penida East Trip (Diamond Beach + Tree House Molenteng + Atuh Beach + Teletubbies) with local lunch - Kuta Hotel Drop (2 Pax)</t>
  </si>
  <si>
    <t>Kuta Hotel - Nusa Penida East Trip (Diamond Beach + Tree House Molenteng + Atuh Beach + Teletubbies) with local lunch - Kuta Hotel Drop (3 Pax)</t>
  </si>
  <si>
    <t>Kuta Hotel - Nusa Penida East Trip (Diamond Beach + Tree House Molenteng + Atuh Beach + Teletubbies) with local lunch - Kuta Hotel Drop (4 Pax)</t>
  </si>
  <si>
    <t>Kuta Hotel - Nusa Penida East Trip (Diamond Beach + Tree House Molenteng + Atuh Beach + Teletubbies) with local lunch - Kuta Hotel Drop (5 Pax)</t>
  </si>
  <si>
    <t>Kuta Hotel - Nusa Penida East Trip (Diamond Beach + Tree House Molenteng + Atuh Beach + Teletubbies) with local lunch - Kuta Hotel Drop (1 Pax)</t>
  </si>
  <si>
    <t>Kuta Hotel - Nusa Penida West Trip + East (Diamond Beach + Tree House + Kelingking Beach ) with local lunch - Kuta Hotel Drop (2 Pax)</t>
  </si>
  <si>
    <t>Kuta Hotel - Nusa Penida West Trip + East (Diamond Beach + Tree House + Kelingking Beach ) with local lunch - Kuta Hotel Drop (3 Pax)</t>
  </si>
  <si>
    <t>Kuta Hotel - Nusa Penida West Trip + East (Diamond Beach + Tree House + Kelingking Beach ) with local lunch - Kuta Hotel Drop (4 Pax)</t>
  </si>
  <si>
    <t>Kuta Hotel - Nusa Penida West Trip + East (Diamond Beach + Tree House + Kelingking Beach ) with local lunch - Kuta Hotel Drop (5 Pax)</t>
  </si>
  <si>
    <t>Kuta Hotel - Nusa Penida West Trip + East (Diamond Beach + Tree House + Kelingking Beach ) with local lunch - Kuta Hotel Drop (1 Pax)</t>
  </si>
  <si>
    <t>Meal</t>
  </si>
  <si>
    <t>Dinner</t>
  </si>
  <si>
    <t>Lunch</t>
  </si>
  <si>
    <t>N/A</t>
  </si>
  <si>
    <t xml:space="preserve">Quote No. : EB </t>
  </si>
  <si>
    <t xml:space="preserve">Client Name: 
Contact Number: </t>
  </si>
  <si>
    <t xml:space="preserve"> Nights /  Days </t>
  </si>
  <si>
    <t xml:space="preserve">       Adult Price:  USD PP ( Hotel + Transport + Activity sightseen ) </t>
  </si>
  <si>
    <t xml:space="preserve">       Only Land Part Price:  USD PP ( Transport + Activity sightseen ) </t>
  </si>
  <si>
    <t>Full Day Tour - Bintang Beach Club (Banana Boat Ride &amp; Jet Ski with instructor - Parasailing)  - Padang Padang Beach -Uluwatu temple - Hotel Drop</t>
  </si>
  <si>
    <t>Pick up from Kuta Hotel - Padang Bai Harbour - Gili Fast boat - Harbour</t>
  </si>
  <si>
    <t>Full Day Tour - Benoa Water Sport Activity (Banana Boat Ride &amp; Jet Ski with instructor - Parasailing)  - Uluwatu temple - Candle Light Veg Dinner at Jimbaran Beach ( Rose Stick 2 Pc - Flower Petal Heart Shape Decoration ) - Hotel Drop</t>
  </si>
  <si>
    <t>Pick up from Gili Hotel - Gili Fast boat - Padang Bai Harbour - Ubud Hotel Drop</t>
  </si>
  <si>
    <t>Enjoy a full-day private tour to Tanah Lot for a stunning sunset experience -  MY bali swing (Single Swing - Fun Adrenalin Swing - Ultimate Swing - Couple swing - Romantic Bed Swing - Family Bed Swing - Chicken Nest - Bird Nest - Sweet Love Nest - Glass Floor - Gate of Heaven) - Ubud Hotel Drop</t>
  </si>
  <si>
    <t>Ubud Hotel - Lempuyang Temple - Tirtha Ganga Temple Tour - Hotel Drop</t>
  </si>
  <si>
    <t>Note : Any Airport pickup waiting time 1 Hour from the time of landing of flight. And pickup time from hotel for any international flight 4 hour before departure time. If Any Flight Delay / Early inform us in advance.If any flight early/delay/cancelled due to any reason are not responsible for pickup/drop or missed flight due to pickup/drop. Extra charges applicable in pickup/drop to/from airport without prior information of above.</t>
  </si>
  <si>
    <t>Half Day With Inter-hotel Transfer : Kuta to Ubud - Alas Harum swing ( Entry Ticket + Coffee Tour + Access Shop &amp; Restro + Rice Terracee With Selfie Sport + 1 Couple Swing ) - Hotel Drop</t>
  </si>
  <si>
    <t>Bali Airport</t>
  </si>
  <si>
    <t>Fast Boat From Gili Trawanagan Harbour to Bali Mainland (Reach Harbour by own) 1 Hour Before schedule time. (Ticket for return transfer, is provided by Fast Boat Company, during your Onward  (Bali to Gili). So Please remember to collect along with onwards ticket. Harbour tax of Gili Trawangan 20.000 IDR Per Person is to be paid directly by the client) - Padang Bai Harbour - Ubud Hotel Drop</t>
  </si>
  <si>
    <t>Pick up from Hotel (5:30 - 6:00) Depending on Hotel Location, Transfer to Padang Bai Harbour - Fast Boat to Gili Trawangan Harbour (Take around 2 Hrs) (Harbour Tax of Padang Bai 10.000 IDR &amp; Gili Trawangan 20.000 IDR Per Person, is to be paid directly by client. From Gili Harbour to Hotel Transfers are NOT included.</t>
  </si>
  <si>
    <t>UBUD</t>
  </si>
  <si>
    <t>KUTA</t>
  </si>
  <si>
    <t>GILI TRAWANGAN</t>
  </si>
  <si>
    <t>NUSA DUA</t>
  </si>
  <si>
    <t>KUTA HOTEL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</si>
</sst>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14009]dddd\,\ d\ mmmm\,\ yyyy;@"/>
  </numFmts>
  <fonts count="23" x14ac:knownFonts="1">
    <font>
      <sz val="10"/>
      <color rgb="FF000000"/>
      <name val="Times New Roman"/>
      <charset val="204"/>
    </font>
    <font>
      <sz val="10"/>
      <color rgb="FF000000"/>
      <name val="Times New Roman"/>
      <family val="1"/>
    </font>
    <font>
      <sz val="11"/>
      <color rgb="FF000000"/>
      <name val="Times New Roman"/>
      <family val="1"/>
    </font>
    <font>
      <sz val="11"/>
      <name val="Times New Roman"/>
      <family val="1"/>
    </font>
    <font>
      <sz val="9"/>
      <name val="Times New Roman"/>
      <family val="1"/>
    </font>
    <font>
      <b/>
      <sz val="11"/>
      <color rgb="FFFFFFFF"/>
      <name val="Times New Roman"/>
      <family val="1"/>
    </font>
    <font>
      <b/>
      <sz val="14"/>
      <color rgb="FF000000"/>
      <name val="Times New Roman"/>
      <family val="1"/>
    </font>
    <font>
      <b/>
      <u/>
      <sz val="12"/>
      <name val="Times New Roman"/>
      <family val="1"/>
    </font>
    <font>
      <b/>
      <u/>
      <sz val="12"/>
      <color rgb="FF000000"/>
      <name val="Times New Roman"/>
      <family val="1"/>
    </font>
    <font>
      <b/>
      <u/>
      <sz val="16"/>
      <name val="Times New Roman"/>
      <family val="1"/>
    </font>
    <font>
      <b/>
      <sz val="12"/>
      <name val="Times New Roman"/>
      <family val="1"/>
    </font>
    <font>
      <b/>
      <sz val="11"/>
      <color rgb="FF0070C0"/>
      <name val="Times New Roman"/>
      <family val="1"/>
    </font>
    <font>
      <sz val="16"/>
      <color theme="3"/>
      <name val="Times New Roman"/>
      <family val="1"/>
    </font>
    <font>
      <sz val="11"/>
      <color rgb="FF9C0006"/>
      <name val="Calibri"/>
      <family val="2"/>
      <scheme val="minor"/>
    </font>
    <font>
      <sz val="11"/>
      <color rgb="FF3F3F76"/>
      <name val="Calibri"/>
      <family val="2"/>
      <scheme val="minor"/>
    </font>
    <font>
      <b/>
      <sz val="11"/>
      <color theme="1"/>
      <name val="Calibri"/>
      <family val="2"/>
      <scheme val="minor"/>
    </font>
    <font>
      <sz val="18"/>
      <color rgb="FF000000"/>
      <name val="Times New Roman"/>
      <family val="1"/>
    </font>
    <font>
      <sz val="11"/>
      <color rgb="FFFFFFFF"/>
      <name val="Arial"/>
      <family val="2"/>
    </font>
    <font>
      <sz val="11"/>
      <color theme="0"/>
      <name val="Arial"/>
      <family val="2"/>
    </font>
    <font>
      <sz val="11"/>
      <color rgb="FFFFFFFF"/>
      <name val="Times New Roman"/>
      <family val="1"/>
    </font>
    <font>
      <b/>
      <sz val="11"/>
      <color theme="1"/>
      <name val="Times New Roman"/>
      <family val="1"/>
    </font>
    <font>
      <sz val="10"/>
      <color rgb="FF000000"/>
      <name val="Times New Roman"/>
      <family val="1"/>
    </font>
    <font>
      <sz val="11"/>
      <color theme="1"/>
      <name val="Times New Roman"/>
      <family val="1"/>
    </font>
  </fonts>
  <fills count="10">
    <fill>
      <patternFill patternType="none"/>
    </fill>
    <fill>
      <patternFill patternType="gray125"/>
    </fill>
    <fill>
      <patternFill patternType="solid">
        <fgColor rgb="FFE6F1E3"/>
      </patternFill>
    </fill>
    <fill>
      <patternFill patternType="solid">
        <fgColor rgb="FF37761C"/>
      </patternFill>
    </fill>
    <fill>
      <patternFill patternType="solid">
        <fgColor rgb="FFB6D7A8"/>
      </patternFill>
    </fill>
    <fill>
      <patternFill patternType="solid">
        <fgColor rgb="FF6AA84F"/>
      </patternFill>
    </fill>
    <fill>
      <patternFill patternType="solid">
        <fgColor theme="0"/>
        <bgColor indexed="64"/>
      </patternFill>
    </fill>
    <fill>
      <patternFill patternType="solid">
        <fgColor rgb="FFFFFF00"/>
        <bgColor indexed="64"/>
      </patternFill>
    </fill>
    <fill>
      <patternFill patternType="solid">
        <fgColor rgb="FFFFC7CE"/>
      </patternFill>
    </fill>
    <fill>
      <patternFill patternType="solid">
        <fgColor rgb="FFFFCC99"/>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13" fillId="8" borderId="0" applyNumberFormat="0" applyBorder="0" applyAlignment="0" applyProtection="0"/>
    <xf numFmtId="0" fontId="14" fillId="9" borderId="19" applyNumberFormat="0" applyAlignment="0" applyProtection="0"/>
    <xf numFmtId="0" fontId="15" fillId="0" borderId="20" applyNumberFormat="0" applyFill="0" applyAlignment="0" applyProtection="0"/>
    <xf numFmtId="44" fontId="21" fillId="0" borderId="0" applyFont="0" applyFill="0" applyBorder="0" applyAlignment="0" applyProtection="0"/>
  </cellStyleXfs>
  <cellXfs count="127">
    <xf numFmtId="0" fontId="0" fillId="0" borderId="0" xfId="0" applyAlignment="1">
      <alignment horizontal="left" vertical="top"/>
    </xf>
    <xf numFmtId="0" fontId="3" fillId="2" borderId="8" xfId="0" applyFont="1" applyFill="1" applyBorder="1" applyAlignment="1">
      <alignment horizontal="center" vertical="center" wrapText="1"/>
    </xf>
    <xf numFmtId="0" fontId="3" fillId="6" borderId="0" xfId="0" applyFont="1" applyFill="1" applyAlignment="1">
      <alignment vertical="center" wrapText="1"/>
    </xf>
    <xf numFmtId="0" fontId="2" fillId="6" borderId="0" xfId="0" applyFont="1" applyFill="1" applyAlignment="1">
      <alignment vertical="center" wrapText="1"/>
    </xf>
    <xf numFmtId="0" fontId="3" fillId="2" borderId="6" xfId="0" applyFont="1" applyFill="1" applyBorder="1" applyAlignment="1">
      <alignment horizontal="center" vertical="center" wrapText="1"/>
    </xf>
    <xf numFmtId="0" fontId="0" fillId="0" borderId="0" xfId="0" applyAlignment="1">
      <alignment vertical="top"/>
    </xf>
    <xf numFmtId="0" fontId="0" fillId="0" borderId="0" xfId="0"/>
    <xf numFmtId="0" fontId="1" fillId="0" borderId="10" xfId="0" applyFont="1" applyBorder="1" applyAlignment="1">
      <alignment horizontal="left" vertical="top"/>
    </xf>
    <xf numFmtId="0" fontId="1" fillId="0" borderId="0" xfId="0" applyFont="1" applyAlignment="1">
      <alignment horizontal="left" vertical="top"/>
    </xf>
    <xf numFmtId="0" fontId="1" fillId="0" borderId="15" xfId="0" applyFont="1" applyBorder="1" applyAlignment="1">
      <alignment horizontal="left" vertical="top"/>
    </xf>
    <xf numFmtId="0" fontId="10" fillId="5" borderId="16"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 fillId="0" borderId="10" xfId="0" applyFont="1" applyBorder="1" applyAlignment="1">
      <alignment vertical="top"/>
    </xf>
    <xf numFmtId="0" fontId="1" fillId="0" borderId="0" xfId="0" applyFont="1" applyAlignment="1">
      <alignment vertical="top"/>
    </xf>
    <xf numFmtId="0" fontId="1" fillId="0" borderId="15" xfId="0" applyFont="1" applyBorder="1" applyAlignment="1">
      <alignment vertical="top"/>
    </xf>
    <xf numFmtId="0" fontId="2" fillId="6" borderId="0" xfId="0" applyFont="1" applyFill="1" applyAlignment="1">
      <alignment horizontal="left" vertical="top"/>
    </xf>
    <xf numFmtId="0" fontId="2" fillId="0" borderId="0" xfId="0" applyFont="1" applyAlignment="1">
      <alignment vertical="center" wrapText="1"/>
    </xf>
    <xf numFmtId="0" fontId="5" fillId="0" borderId="0" xfId="0" applyFont="1" applyAlignment="1">
      <alignment horizontal="left" vertical="top"/>
    </xf>
    <xf numFmtId="0" fontId="2" fillId="6" borderId="0" xfId="0" applyFont="1" applyFill="1" applyAlignment="1">
      <alignment horizontal="left" vertical="top" wrapText="1"/>
    </xf>
    <xf numFmtId="0" fontId="3" fillId="2" borderId="2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9" fillId="3" borderId="22" xfId="0" applyFont="1" applyFill="1" applyBorder="1" applyAlignment="1">
      <alignment horizontal="center" vertical="center" wrapText="1"/>
    </xf>
    <xf numFmtId="164" fontId="20" fillId="2" borderId="18" xfId="0" applyNumberFormat="1" applyFont="1" applyFill="1" applyBorder="1" applyAlignment="1">
      <alignment horizontal="center" vertical="center" shrinkToFit="1"/>
    </xf>
    <xf numFmtId="0" fontId="20" fillId="2" borderId="2" xfId="0" applyFont="1" applyFill="1" applyBorder="1" applyAlignment="1">
      <alignment horizontal="center" vertical="center" wrapText="1"/>
    </xf>
    <xf numFmtId="0" fontId="19" fillId="3" borderId="21" xfId="0" applyFont="1" applyFill="1" applyBorder="1" applyAlignment="1">
      <alignment horizontal="center" vertical="center" wrapText="1"/>
    </xf>
    <xf numFmtId="0" fontId="2" fillId="6" borderId="0" xfId="0" quotePrefix="1" applyFont="1" applyFill="1" applyAlignment="1">
      <alignment horizontal="left" vertical="top"/>
    </xf>
    <xf numFmtId="0" fontId="2" fillId="6" borderId="0" xfId="4" applyNumberFormat="1" applyFont="1" applyFill="1" applyBorder="1" applyAlignment="1">
      <alignment horizontal="left" vertical="top"/>
    </xf>
    <xf numFmtId="2" fontId="2" fillId="6" borderId="0" xfId="4" applyNumberFormat="1" applyFont="1" applyFill="1" applyBorder="1" applyAlignment="1">
      <alignment horizontal="center" vertical="top"/>
    </xf>
    <xf numFmtId="0" fontId="2" fillId="0" borderId="0" xfId="0" applyFont="1" applyAlignment="1">
      <alignment vertical="center"/>
    </xf>
    <xf numFmtId="0" fontId="3" fillId="2" borderId="25" xfId="0" applyFont="1" applyFill="1" applyBorder="1" applyAlignment="1">
      <alignment horizontal="left" vertical="center" wrapText="1"/>
    </xf>
    <xf numFmtId="0" fontId="2" fillId="6" borderId="10" xfId="0" applyFont="1" applyFill="1" applyBorder="1" applyAlignment="1">
      <alignment horizontal="left" vertical="top"/>
    </xf>
    <xf numFmtId="0" fontId="2" fillId="6" borderId="15" xfId="0" applyFont="1" applyFill="1" applyBorder="1" applyAlignment="1">
      <alignment horizontal="left" vertical="top"/>
    </xf>
    <xf numFmtId="16" fontId="3" fillId="2" borderId="3" xfId="0" applyNumberFormat="1" applyFont="1" applyFill="1" applyBorder="1" applyAlignment="1">
      <alignment horizontal="center" vertical="center" wrapText="1"/>
    </xf>
    <xf numFmtId="1" fontId="3" fillId="2" borderId="25" xfId="0" applyNumberFormat="1" applyFont="1" applyFill="1" applyBorder="1" applyAlignment="1">
      <alignment horizontal="left" vertical="center" wrapText="1"/>
    </xf>
    <xf numFmtId="2" fontId="2" fillId="6" borderId="0" xfId="0" applyNumberFormat="1" applyFont="1" applyFill="1" applyAlignment="1">
      <alignment horizontal="left" vertical="top"/>
    </xf>
    <xf numFmtId="0" fontId="3" fillId="2" borderId="3" xfId="0" applyFont="1" applyFill="1" applyBorder="1" applyAlignment="1">
      <alignment horizontal="center" vertical="center" wrapText="1"/>
    </xf>
    <xf numFmtId="0" fontId="2" fillId="0" borderId="10" xfId="0" applyFont="1" applyBorder="1" applyAlignment="1">
      <alignment horizontal="left" vertical="center"/>
    </xf>
    <xf numFmtId="0" fontId="2" fillId="0" borderId="15" xfId="0" applyFont="1" applyBorder="1" applyAlignment="1">
      <alignment horizontal="left" vertical="center"/>
    </xf>
    <xf numFmtId="0" fontId="2" fillId="0" borderId="0" xfId="0" applyFont="1" applyAlignment="1">
      <alignment horizontal="left" vertical="center"/>
    </xf>
    <xf numFmtId="18" fontId="20" fillId="2" borderId="12" xfId="0" applyNumberFormat="1" applyFont="1" applyFill="1" applyBorder="1" applyAlignment="1">
      <alignment horizontal="center" vertical="center" wrapText="1"/>
    </xf>
    <xf numFmtId="0" fontId="22" fillId="2" borderId="2" xfId="0" applyFont="1" applyFill="1" applyBorder="1" applyAlignment="1">
      <alignment horizontal="center" vertical="center" wrapText="1"/>
    </xf>
    <xf numFmtId="0" fontId="20" fillId="2" borderId="2" xfId="0" applyFont="1" applyFill="1" applyBorder="1" applyAlignment="1">
      <alignment vertical="center" wrapText="1"/>
    </xf>
    <xf numFmtId="0" fontId="19" fillId="3"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 fillId="2" borderId="23" xfId="0" applyFont="1" applyFill="1" applyBorder="1" applyAlignment="1">
      <alignment horizontal="left" vertical="top" wrapText="1"/>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wrapText="1"/>
    </xf>
    <xf numFmtId="0" fontId="19" fillId="3" borderId="3" xfId="0" applyFont="1" applyFill="1" applyBorder="1" applyAlignment="1">
      <alignment horizontal="center" vertical="center" wrapText="1"/>
    </xf>
    <xf numFmtId="0" fontId="19" fillId="3" borderId="24" xfId="0" applyFont="1" applyFill="1" applyBorder="1" applyAlignment="1">
      <alignment horizontal="center" vertical="center" wrapText="1"/>
    </xf>
    <xf numFmtId="0" fontId="2" fillId="0" borderId="10" xfId="0" applyFont="1" applyBorder="1" applyAlignment="1">
      <alignment horizontal="left" vertical="center"/>
    </xf>
    <xf numFmtId="0" fontId="2" fillId="0" borderId="0" xfId="0" applyFont="1" applyAlignment="1">
      <alignment horizontal="left" vertical="center"/>
    </xf>
    <xf numFmtId="0" fontId="2" fillId="0" borderId="15" xfId="0" applyFont="1" applyBorder="1" applyAlignment="1">
      <alignment horizontal="left" vertical="center"/>
    </xf>
    <xf numFmtId="0" fontId="2" fillId="0" borderId="10" xfId="0" applyFont="1" applyBorder="1" applyAlignment="1">
      <alignment horizontal="left" vertical="center" wrapText="1"/>
    </xf>
    <xf numFmtId="0" fontId="2" fillId="0" borderId="0" xfId="0" applyFont="1" applyAlignment="1">
      <alignment horizontal="left" vertical="center" wrapText="1"/>
    </xf>
    <xf numFmtId="0" fontId="2" fillId="0" borderId="15" xfId="0" applyFont="1" applyBorder="1" applyAlignment="1">
      <alignment horizontal="left" vertical="center" wrapText="1"/>
    </xf>
    <xf numFmtId="0" fontId="11" fillId="0" borderId="10" xfId="0" applyFont="1" applyBorder="1" applyAlignment="1">
      <alignment horizontal="left" vertical="center"/>
    </xf>
    <xf numFmtId="0" fontId="11" fillId="0" borderId="0" xfId="0" applyFont="1" applyAlignment="1">
      <alignment horizontal="left" vertical="center"/>
    </xf>
    <xf numFmtId="0" fontId="11" fillId="0" borderId="15" xfId="0" applyFont="1" applyBorder="1" applyAlignment="1">
      <alignment horizontal="left"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1" fillId="0" borderId="15" xfId="0" applyFont="1" applyBorder="1" applyAlignment="1">
      <alignment horizontal="center" vertical="center"/>
    </xf>
    <xf numFmtId="0" fontId="2" fillId="0" borderId="17" xfId="0" applyFont="1" applyBorder="1" applyAlignment="1">
      <alignment horizontal="left" vertical="top" wrapText="1"/>
    </xf>
    <xf numFmtId="0" fontId="2" fillId="0" borderId="13" xfId="0" applyFont="1" applyBorder="1" applyAlignment="1">
      <alignment horizontal="left" vertical="top"/>
    </xf>
    <xf numFmtId="0" fontId="2" fillId="0" borderId="14" xfId="0" applyFont="1" applyBorder="1" applyAlignment="1">
      <alignment horizontal="left" vertical="top"/>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11" fillId="0" borderId="10" xfId="0" applyFont="1" applyBorder="1" applyAlignment="1">
      <alignment horizontal="left" vertical="center" wrapText="1"/>
    </xf>
    <xf numFmtId="0" fontId="11" fillId="0" borderId="0" xfId="0" applyFont="1" applyAlignment="1">
      <alignment horizontal="left" vertical="center" wrapText="1"/>
    </xf>
    <xf numFmtId="0" fontId="11" fillId="0" borderId="15" xfId="0" applyFont="1" applyBorder="1" applyAlignment="1">
      <alignment horizontal="left" vertical="center" wrapText="1"/>
    </xf>
    <xf numFmtId="0" fontId="11" fillId="0" borderId="5" xfId="0" applyFont="1" applyBorder="1" applyAlignment="1">
      <alignment horizontal="left" vertical="center"/>
    </xf>
    <xf numFmtId="0" fontId="11" fillId="0" borderId="9" xfId="0" applyFont="1" applyBorder="1" applyAlignment="1">
      <alignment horizontal="left" vertical="center"/>
    </xf>
    <xf numFmtId="0" fontId="11" fillId="0" borderId="11" xfId="0" applyFont="1" applyBorder="1" applyAlignment="1">
      <alignment horizontal="left" vertical="center"/>
    </xf>
    <xf numFmtId="0" fontId="12" fillId="7" borderId="32" xfId="0" applyFont="1" applyFill="1" applyBorder="1" applyAlignment="1">
      <alignment horizontal="center" vertical="top"/>
    </xf>
    <xf numFmtId="0" fontId="12" fillId="7" borderId="33" xfId="0" applyFont="1" applyFill="1" applyBorder="1" applyAlignment="1">
      <alignment horizontal="center" vertical="top"/>
    </xf>
    <xf numFmtId="0" fontId="12" fillId="7" borderId="34" xfId="0" applyFont="1" applyFill="1" applyBorder="1" applyAlignment="1">
      <alignment horizontal="center" vertical="top"/>
    </xf>
    <xf numFmtId="0" fontId="3" fillId="4" borderId="8" xfId="0" applyFont="1" applyFill="1" applyBorder="1" applyAlignment="1">
      <alignment horizontal="center" vertical="top" wrapText="1"/>
    </xf>
    <xf numFmtId="0" fontId="3" fillId="4" borderId="24" xfId="0" applyFont="1" applyFill="1" applyBorder="1" applyAlignment="1">
      <alignment horizontal="center" vertical="top" wrapText="1"/>
    </xf>
    <xf numFmtId="0" fontId="3" fillId="4" borderId="25" xfId="0" applyFont="1" applyFill="1" applyBorder="1" applyAlignment="1">
      <alignment horizontal="center" vertical="top" wrapText="1"/>
    </xf>
    <xf numFmtId="0" fontId="16" fillId="0" borderId="26" xfId="0"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2" fillId="2" borderId="3"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25"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7" borderId="8" xfId="0" applyFont="1" applyFill="1" applyBorder="1" applyAlignment="1">
      <alignment horizontal="center" vertical="top" wrapText="1"/>
    </xf>
    <xf numFmtId="0" fontId="3" fillId="7" borderId="24" xfId="0" applyFont="1" applyFill="1" applyBorder="1" applyAlignment="1">
      <alignment horizontal="center" vertical="top" wrapText="1"/>
    </xf>
    <xf numFmtId="0" fontId="3" fillId="7" borderId="25" xfId="0" applyFont="1" applyFill="1" applyBorder="1" applyAlignment="1">
      <alignment horizontal="center" vertical="top" wrapText="1"/>
    </xf>
    <xf numFmtId="0" fontId="1" fillId="0" borderId="10" xfId="0" applyFont="1" applyBorder="1" applyAlignment="1">
      <alignment horizontal="left" vertical="top"/>
    </xf>
    <xf numFmtId="0" fontId="1" fillId="0" borderId="0" xfId="0" applyFont="1" applyAlignment="1">
      <alignment horizontal="left" vertical="top"/>
    </xf>
    <xf numFmtId="0" fontId="1" fillId="0" borderId="15" xfId="0" applyFont="1" applyBorder="1" applyAlignment="1">
      <alignment horizontal="left" vertical="top"/>
    </xf>
    <xf numFmtId="0" fontId="9" fillId="0" borderId="5"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6" fillId="0" borderId="10" xfId="0" applyFont="1" applyBorder="1" applyAlignment="1">
      <alignment horizontal="center" vertical="top"/>
    </xf>
    <xf numFmtId="0" fontId="6" fillId="0" borderId="0" xfId="0" applyFont="1" applyAlignment="1">
      <alignment horizontal="center" vertical="top"/>
    </xf>
    <xf numFmtId="0" fontId="6" fillId="0" borderId="15" xfId="0" applyFont="1" applyBorder="1" applyAlignment="1">
      <alignment horizontal="center" vertical="top"/>
    </xf>
    <xf numFmtId="0" fontId="7" fillId="0" borderId="10" xfId="0" applyFont="1" applyBorder="1" applyAlignment="1">
      <alignment horizontal="left" vertical="top" wrapText="1"/>
    </xf>
    <xf numFmtId="0" fontId="7" fillId="0" borderId="0" xfId="0" applyFont="1" applyAlignment="1">
      <alignment horizontal="left" vertical="top" wrapText="1"/>
    </xf>
    <xf numFmtId="0" fontId="7" fillId="0" borderId="15" xfId="0" applyFont="1" applyBorder="1" applyAlignment="1">
      <alignment horizontal="left" vertical="top" wrapText="1"/>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 fillId="0" borderId="15" xfId="0" applyFont="1" applyBorder="1" applyAlignment="1">
      <alignment horizontal="left" vertical="top" wrapText="1"/>
    </xf>
    <xf numFmtId="0" fontId="1" fillId="0" borderId="10" xfId="0" applyFont="1" applyBorder="1" applyAlignment="1">
      <alignment horizontal="center" vertical="top"/>
    </xf>
    <xf numFmtId="0" fontId="1" fillId="0" borderId="0" xfId="0" applyFont="1" applyAlignment="1">
      <alignment horizontal="center" vertical="top"/>
    </xf>
    <xf numFmtId="0" fontId="1" fillId="0" borderId="15" xfId="0" applyFont="1" applyBorder="1" applyAlignment="1">
      <alignment horizontal="center" vertical="top"/>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5" xfId="0" applyFont="1" applyBorder="1" applyAlignment="1">
      <alignment horizontal="left" vertical="top" wrapText="1"/>
    </xf>
    <xf numFmtId="0" fontId="8" fillId="0" borderId="10" xfId="0" applyFont="1" applyBorder="1" applyAlignment="1">
      <alignment horizontal="left" vertical="top"/>
    </xf>
    <xf numFmtId="0" fontId="8" fillId="0" borderId="0" xfId="0" applyFont="1" applyAlignment="1">
      <alignment horizontal="left" vertical="top"/>
    </xf>
    <xf numFmtId="0" fontId="8" fillId="0" borderId="15" xfId="0" applyFont="1" applyBorder="1" applyAlignment="1">
      <alignment horizontal="left" vertical="top"/>
    </xf>
  </cellXfs>
  <cellStyles count="5">
    <cellStyle name="Bad" xfId="1" builtinId="27" hidden="1"/>
    <cellStyle name="Currency" xfId="4" builtinId="4"/>
    <cellStyle name="Input" xfId="2" builtinId="20" hidden="1"/>
    <cellStyle name="Normal" xfId="0" builtinId="0"/>
    <cellStyle name="Total" xfId="3" builtinId="25" hidden="1"/>
  </cellStyles>
  <dxfs count="0"/>
  <tableStyles count="0" defaultTableStyle="TableStyleMedium9" defaultPivotStyle="PivotStyleLight16"/>
  <colors>
    <mruColors>
      <color rgb="FF5B46DA"/>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10583</xdr:rowOff>
    </xdr:from>
    <xdr:to>
      <xdr:col>0</xdr:col>
      <xdr:colOff>171450</xdr:colOff>
      <xdr:row>26</xdr:row>
      <xdr:rowOff>192617</xdr:rowOff>
    </xdr:to>
    <xdr:pic>
      <xdr:nvPicPr>
        <xdr:cNvPr id="5" name="Picture 4" descr="*">
          <a:extLst>
            <a:ext uri="{FF2B5EF4-FFF2-40B4-BE49-F238E27FC236}">
              <a16:creationId xmlns:a16="http://schemas.microsoft.com/office/drawing/2014/main" xmlns=""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477750"/>
          <a:ext cx="171450" cy="171450"/>
        </a:xfrm>
        <a:prstGeom prst="rect">
          <a:avLst/>
        </a:prstGeom>
        <a:noFill/>
        <a:effectLst>
          <a:outerShdw blurRad="50800" dist="50800" dir="5400000" algn="ctr" rotWithShape="0">
            <a:schemeClr val="tx1">
              <a:lumMod val="85000"/>
              <a:lumOff val="15000"/>
            </a:scheme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171450</xdr:colOff>
      <xdr:row>27</xdr:row>
      <xdr:rowOff>171450</xdr:rowOff>
    </xdr:to>
    <xdr:pic>
      <xdr:nvPicPr>
        <xdr:cNvPr id="6" name="Picture 5" descr="*">
          <a:extLst>
            <a:ext uri="{FF2B5EF4-FFF2-40B4-BE49-F238E27FC236}">
              <a16:creationId xmlns:a16="http://schemas.microsoft.com/office/drawing/2014/main" xmlns=""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2649200"/>
          <a:ext cx="171450" cy="171450"/>
        </a:xfrm>
        <a:prstGeom prst="rect">
          <a:avLst/>
        </a:prstGeom>
        <a:noFill/>
        <a:effectLst>
          <a:outerShdw blurRad="50800" dist="50800" dir="5400000" algn="ctr" rotWithShape="0">
            <a:schemeClr val="accent3">
              <a:lumMod val="50000"/>
            </a:scheme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171450</xdr:colOff>
      <xdr:row>28</xdr:row>
      <xdr:rowOff>171450</xdr:rowOff>
    </xdr:to>
    <xdr:pic>
      <xdr:nvPicPr>
        <xdr:cNvPr id="7" name="Picture 6" descr="*">
          <a:extLst>
            <a:ext uri="{FF2B5EF4-FFF2-40B4-BE49-F238E27FC236}">
              <a16:creationId xmlns:a16="http://schemas.microsoft.com/office/drawing/2014/main" xmlns="" id="{00000000-0008-0000-00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827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171450</xdr:colOff>
      <xdr:row>29</xdr:row>
      <xdr:rowOff>171450</xdr:rowOff>
    </xdr:to>
    <xdr:pic>
      <xdr:nvPicPr>
        <xdr:cNvPr id="8" name="Picture 7" descr="*">
          <a:extLst>
            <a:ext uri="{FF2B5EF4-FFF2-40B4-BE49-F238E27FC236}">
              <a16:creationId xmlns:a16="http://schemas.microsoft.com/office/drawing/2014/main" xmlns="" id="{00000000-0008-0000-00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004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171450</xdr:colOff>
      <xdr:row>31</xdr:row>
      <xdr:rowOff>171450</xdr:rowOff>
    </xdr:to>
    <xdr:pic>
      <xdr:nvPicPr>
        <xdr:cNvPr id="9" name="Picture 8" descr="*">
          <a:extLst>
            <a:ext uri="{FF2B5EF4-FFF2-40B4-BE49-F238E27FC236}">
              <a16:creationId xmlns:a16="http://schemas.microsoft.com/office/drawing/2014/main" xmlns="" id="{00000000-0008-0000-00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4326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171450</xdr:colOff>
      <xdr:row>33</xdr:row>
      <xdr:rowOff>171450</xdr:rowOff>
    </xdr:to>
    <xdr:pic>
      <xdr:nvPicPr>
        <xdr:cNvPr id="10" name="Picture 9" descr="*">
          <a:extLst>
            <a:ext uri="{FF2B5EF4-FFF2-40B4-BE49-F238E27FC236}">
              <a16:creationId xmlns:a16="http://schemas.microsoft.com/office/drawing/2014/main" xmlns="" id="{00000000-0008-0000-00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360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171450</xdr:colOff>
      <xdr:row>34</xdr:row>
      <xdr:rowOff>171450</xdr:rowOff>
    </xdr:to>
    <xdr:pic>
      <xdr:nvPicPr>
        <xdr:cNvPr id="11" name="Picture 10" descr="*">
          <a:extLst>
            <a:ext uri="{FF2B5EF4-FFF2-40B4-BE49-F238E27FC236}">
              <a16:creationId xmlns:a16="http://schemas.microsoft.com/office/drawing/2014/main" xmlns="" id="{00000000-0008-0000-00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5382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171450</xdr:colOff>
      <xdr:row>34</xdr:row>
      <xdr:rowOff>171450</xdr:rowOff>
    </xdr:to>
    <xdr:pic>
      <xdr:nvPicPr>
        <xdr:cNvPr id="12" name="Picture 11" descr="*">
          <a:extLst>
            <a:ext uri="{FF2B5EF4-FFF2-40B4-BE49-F238E27FC236}">
              <a16:creationId xmlns:a16="http://schemas.microsoft.com/office/drawing/2014/main" xmlns="" id="{00000000-0008-0000-00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716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171450</xdr:colOff>
      <xdr:row>36</xdr:row>
      <xdr:rowOff>171450</xdr:rowOff>
    </xdr:to>
    <xdr:pic>
      <xdr:nvPicPr>
        <xdr:cNvPr id="13" name="Picture 12" descr="*">
          <a:extLst>
            <a:ext uri="{FF2B5EF4-FFF2-40B4-BE49-F238E27FC236}">
              <a16:creationId xmlns:a16="http://schemas.microsoft.com/office/drawing/2014/main" xmlns="" id="{00000000-0008-0000-00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249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171450</xdr:colOff>
      <xdr:row>37</xdr:row>
      <xdr:rowOff>171450</xdr:rowOff>
    </xdr:to>
    <xdr:pic>
      <xdr:nvPicPr>
        <xdr:cNvPr id="14" name="Picture 13" descr="*">
          <a:extLst>
            <a:ext uri="{FF2B5EF4-FFF2-40B4-BE49-F238E27FC236}">
              <a16:creationId xmlns:a16="http://schemas.microsoft.com/office/drawing/2014/main" xmlns="" id="{00000000-0008-0000-00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4272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xdr:row>
      <xdr:rowOff>0</xdr:rowOff>
    </xdr:from>
    <xdr:to>
      <xdr:col>0</xdr:col>
      <xdr:colOff>171450</xdr:colOff>
      <xdr:row>38</xdr:row>
      <xdr:rowOff>171450</xdr:rowOff>
    </xdr:to>
    <xdr:pic>
      <xdr:nvPicPr>
        <xdr:cNvPr id="15" name="Picture 14" descr="*">
          <a:extLst>
            <a:ext uri="{FF2B5EF4-FFF2-40B4-BE49-F238E27FC236}">
              <a16:creationId xmlns:a16="http://schemas.microsoft.com/office/drawing/2014/main" xmlns="" id="{00000000-0008-0000-00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605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0</xdr:rowOff>
    </xdr:from>
    <xdr:to>
      <xdr:col>0</xdr:col>
      <xdr:colOff>171450</xdr:colOff>
      <xdr:row>39</xdr:row>
      <xdr:rowOff>171450</xdr:rowOff>
    </xdr:to>
    <xdr:pic>
      <xdr:nvPicPr>
        <xdr:cNvPr id="16" name="Picture 15" descr="*">
          <a:extLst>
            <a:ext uri="{FF2B5EF4-FFF2-40B4-BE49-F238E27FC236}">
              <a16:creationId xmlns:a16="http://schemas.microsoft.com/office/drawing/2014/main" xmlns="" id="{00000000-0008-0000-00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782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171450</xdr:colOff>
      <xdr:row>40</xdr:row>
      <xdr:rowOff>171450</xdr:rowOff>
    </xdr:to>
    <xdr:pic>
      <xdr:nvPicPr>
        <xdr:cNvPr id="17" name="Picture 16" descr="*">
          <a:extLst>
            <a:ext uri="{FF2B5EF4-FFF2-40B4-BE49-F238E27FC236}">
              <a16:creationId xmlns:a16="http://schemas.microsoft.com/office/drawing/2014/main" xmlns="" id="{00000000-0008-0000-00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960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171450</xdr:colOff>
      <xdr:row>40</xdr:row>
      <xdr:rowOff>171450</xdr:rowOff>
    </xdr:to>
    <xdr:pic>
      <xdr:nvPicPr>
        <xdr:cNvPr id="18" name="Picture 17" descr="*">
          <a:extLst>
            <a:ext uri="{FF2B5EF4-FFF2-40B4-BE49-F238E27FC236}">
              <a16:creationId xmlns:a16="http://schemas.microsoft.com/office/drawing/2014/main" xmlns="" id="{00000000-0008-0000-00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138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0</xdr:rowOff>
    </xdr:from>
    <xdr:to>
      <xdr:col>0</xdr:col>
      <xdr:colOff>171450</xdr:colOff>
      <xdr:row>42</xdr:row>
      <xdr:rowOff>171450</xdr:rowOff>
    </xdr:to>
    <xdr:pic>
      <xdr:nvPicPr>
        <xdr:cNvPr id="19" name="Picture 18" descr="*">
          <a:extLst>
            <a:ext uri="{FF2B5EF4-FFF2-40B4-BE49-F238E27FC236}">
              <a16:creationId xmlns:a16="http://schemas.microsoft.com/office/drawing/2014/main" xmlns="" id="{00000000-0008-0000-00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3162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171450</xdr:colOff>
      <xdr:row>45</xdr:row>
      <xdr:rowOff>171450</xdr:rowOff>
    </xdr:to>
    <xdr:pic>
      <xdr:nvPicPr>
        <xdr:cNvPr id="20" name="Picture 19" descr="*">
          <a:extLst>
            <a:ext uri="{FF2B5EF4-FFF2-40B4-BE49-F238E27FC236}">
              <a16:creationId xmlns:a16="http://schemas.microsoft.com/office/drawing/2014/main" xmlns="" id="{00000000-0008-0000-00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6993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171450</xdr:colOff>
      <xdr:row>46</xdr:row>
      <xdr:rowOff>171450</xdr:rowOff>
    </xdr:to>
    <xdr:pic>
      <xdr:nvPicPr>
        <xdr:cNvPr id="21" name="Picture 20" descr="*">
          <a:extLst>
            <a:ext uri="{FF2B5EF4-FFF2-40B4-BE49-F238E27FC236}">
              <a16:creationId xmlns:a16="http://schemas.microsoft.com/office/drawing/2014/main" xmlns="" id="{00000000-0008-0000-00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383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171450</xdr:colOff>
      <xdr:row>47</xdr:row>
      <xdr:rowOff>171450</xdr:rowOff>
    </xdr:to>
    <xdr:pic>
      <xdr:nvPicPr>
        <xdr:cNvPr id="22" name="Picture 21" descr="*">
          <a:extLst>
            <a:ext uri="{FF2B5EF4-FFF2-40B4-BE49-F238E27FC236}">
              <a16:creationId xmlns:a16="http://schemas.microsoft.com/office/drawing/2014/main" xmlns="" id="{00000000-0008-0000-00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560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0</xdr:rowOff>
    </xdr:from>
    <xdr:to>
      <xdr:col>0</xdr:col>
      <xdr:colOff>171450</xdr:colOff>
      <xdr:row>48</xdr:row>
      <xdr:rowOff>171450</xdr:rowOff>
    </xdr:to>
    <xdr:pic>
      <xdr:nvPicPr>
        <xdr:cNvPr id="23" name="Picture 22" descr="*">
          <a:extLst>
            <a:ext uri="{FF2B5EF4-FFF2-40B4-BE49-F238E27FC236}">
              <a16:creationId xmlns:a16="http://schemas.microsoft.com/office/drawing/2014/main" xmlns="" id="{00000000-0008-0000-0000-00001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738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171450</xdr:colOff>
      <xdr:row>49</xdr:row>
      <xdr:rowOff>171450</xdr:rowOff>
    </xdr:to>
    <xdr:pic>
      <xdr:nvPicPr>
        <xdr:cNvPr id="24" name="Picture 23" descr="*">
          <a:extLst>
            <a:ext uri="{FF2B5EF4-FFF2-40B4-BE49-F238E27FC236}">
              <a16:creationId xmlns:a16="http://schemas.microsoft.com/office/drawing/2014/main" xmlns="" id="{00000000-0008-0000-00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916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0</xdr:rowOff>
    </xdr:from>
    <xdr:to>
      <xdr:col>0</xdr:col>
      <xdr:colOff>171450</xdr:colOff>
      <xdr:row>50</xdr:row>
      <xdr:rowOff>171450</xdr:rowOff>
    </xdr:to>
    <xdr:pic>
      <xdr:nvPicPr>
        <xdr:cNvPr id="26" name="Picture 25" descr="*">
          <a:extLst>
            <a:ext uri="{FF2B5EF4-FFF2-40B4-BE49-F238E27FC236}">
              <a16:creationId xmlns:a16="http://schemas.microsoft.com/office/drawing/2014/main" xmlns="" id="{00000000-0008-0000-00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7272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0</xdr:rowOff>
    </xdr:from>
    <xdr:to>
      <xdr:col>0</xdr:col>
      <xdr:colOff>171450</xdr:colOff>
      <xdr:row>51</xdr:row>
      <xdr:rowOff>171450</xdr:rowOff>
    </xdr:to>
    <xdr:pic>
      <xdr:nvPicPr>
        <xdr:cNvPr id="27" name="Picture 26" descr="*">
          <a:extLst>
            <a:ext uri="{FF2B5EF4-FFF2-40B4-BE49-F238E27FC236}">
              <a16:creationId xmlns:a16="http://schemas.microsoft.com/office/drawing/2014/main" xmlns="" id="{00000000-0008-0000-00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7449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0</xdr:col>
      <xdr:colOff>171450</xdr:colOff>
      <xdr:row>61</xdr:row>
      <xdr:rowOff>1</xdr:rowOff>
    </xdr:to>
    <xdr:pic>
      <xdr:nvPicPr>
        <xdr:cNvPr id="32" name="Picture 31" descr="*">
          <a:extLst>
            <a:ext uri="{FF2B5EF4-FFF2-40B4-BE49-F238E27FC236}">
              <a16:creationId xmlns:a16="http://schemas.microsoft.com/office/drawing/2014/main" xmlns="" id="{00000000-0008-0000-0000-00002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88595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xdr:row>
      <xdr:rowOff>0</xdr:rowOff>
    </xdr:from>
    <xdr:to>
      <xdr:col>0</xdr:col>
      <xdr:colOff>171450</xdr:colOff>
      <xdr:row>61</xdr:row>
      <xdr:rowOff>171450</xdr:rowOff>
    </xdr:to>
    <xdr:pic>
      <xdr:nvPicPr>
        <xdr:cNvPr id="33" name="Picture 32" descr="*">
          <a:extLst>
            <a:ext uri="{FF2B5EF4-FFF2-40B4-BE49-F238E27FC236}">
              <a16:creationId xmlns:a16="http://schemas.microsoft.com/office/drawing/2014/main" xmlns="" id="{00000000-0008-0000-0000-00002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373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0</xdr:rowOff>
    </xdr:from>
    <xdr:to>
      <xdr:col>0</xdr:col>
      <xdr:colOff>171450</xdr:colOff>
      <xdr:row>62</xdr:row>
      <xdr:rowOff>171450</xdr:rowOff>
    </xdr:to>
    <xdr:pic>
      <xdr:nvPicPr>
        <xdr:cNvPr id="34" name="Picture 33" descr="*">
          <a:extLst>
            <a:ext uri="{FF2B5EF4-FFF2-40B4-BE49-F238E27FC236}">
              <a16:creationId xmlns:a16="http://schemas.microsoft.com/office/drawing/2014/main" xmlns="" id="{00000000-0008-0000-0000-00002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215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171450</xdr:colOff>
      <xdr:row>63</xdr:row>
      <xdr:rowOff>171450</xdr:rowOff>
    </xdr:to>
    <xdr:pic>
      <xdr:nvPicPr>
        <xdr:cNvPr id="35" name="Picture 34" descr="*">
          <a:extLst>
            <a:ext uri="{FF2B5EF4-FFF2-40B4-BE49-F238E27FC236}">
              <a16:creationId xmlns:a16="http://schemas.microsoft.com/office/drawing/2014/main" xmlns="" id="{00000000-0008-0000-0000-00002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01847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0</xdr:col>
      <xdr:colOff>171450</xdr:colOff>
      <xdr:row>66</xdr:row>
      <xdr:rowOff>171450</xdr:rowOff>
    </xdr:to>
    <xdr:pic>
      <xdr:nvPicPr>
        <xdr:cNvPr id="36" name="Picture 35" descr="*">
          <a:extLst>
            <a:ext uri="{FF2B5EF4-FFF2-40B4-BE49-F238E27FC236}">
              <a16:creationId xmlns:a16="http://schemas.microsoft.com/office/drawing/2014/main" xmlns="" id="{00000000-0008-0000-0000-00002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7485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171450</xdr:colOff>
      <xdr:row>46</xdr:row>
      <xdr:rowOff>171450</xdr:rowOff>
    </xdr:to>
    <xdr:pic>
      <xdr:nvPicPr>
        <xdr:cNvPr id="38" name="Picture 37" descr="*">
          <a:extLst>
            <a:ext uri="{FF2B5EF4-FFF2-40B4-BE49-F238E27FC236}">
              <a16:creationId xmlns:a16="http://schemas.microsoft.com/office/drawing/2014/main" xmlns="" id="{00000000-0008-0000-0000-00002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027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46</xdr:row>
      <xdr:rowOff>0</xdr:rowOff>
    </xdr:from>
    <xdr:ext cx="171450" cy="171450"/>
    <xdr:pic>
      <xdr:nvPicPr>
        <xdr:cNvPr id="39" name="Picture 38" descr="*">
          <a:extLst>
            <a:ext uri="{FF2B5EF4-FFF2-40B4-BE49-F238E27FC236}">
              <a16:creationId xmlns:a16="http://schemas.microsoft.com/office/drawing/2014/main" xmlns="" id="{00000000-0008-0000-0000-00002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027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46</xdr:row>
      <xdr:rowOff>0</xdr:rowOff>
    </xdr:from>
    <xdr:ext cx="171450" cy="171450"/>
    <xdr:pic>
      <xdr:nvPicPr>
        <xdr:cNvPr id="40" name="Picture 39" descr="*">
          <a:extLst>
            <a:ext uri="{FF2B5EF4-FFF2-40B4-BE49-F238E27FC236}">
              <a16:creationId xmlns:a16="http://schemas.microsoft.com/office/drawing/2014/main" xmlns="" id="{00000000-0008-0000-0000-00002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548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50</xdr:row>
      <xdr:rowOff>0</xdr:rowOff>
    </xdr:from>
    <xdr:to>
      <xdr:col>0</xdr:col>
      <xdr:colOff>171450</xdr:colOff>
      <xdr:row>50</xdr:row>
      <xdr:rowOff>171450</xdr:rowOff>
    </xdr:to>
    <xdr:pic>
      <xdr:nvPicPr>
        <xdr:cNvPr id="41" name="Picture 40" descr="*">
          <a:extLst>
            <a:ext uri="{FF2B5EF4-FFF2-40B4-BE49-F238E27FC236}">
              <a16:creationId xmlns:a16="http://schemas.microsoft.com/office/drawing/2014/main" xmlns="" id="{00000000-0008-0000-0000-00002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136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xdr:row>
      <xdr:rowOff>0</xdr:rowOff>
    </xdr:from>
    <xdr:to>
      <xdr:col>0</xdr:col>
      <xdr:colOff>171450</xdr:colOff>
      <xdr:row>54</xdr:row>
      <xdr:rowOff>171450</xdr:rowOff>
    </xdr:to>
    <xdr:pic>
      <xdr:nvPicPr>
        <xdr:cNvPr id="42" name="Picture 41" descr="*">
          <a:extLst>
            <a:ext uri="{FF2B5EF4-FFF2-40B4-BE49-F238E27FC236}">
              <a16:creationId xmlns:a16="http://schemas.microsoft.com/office/drawing/2014/main" xmlns="" id="{00000000-0008-0000-0000-00002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0893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xdr:row>
      <xdr:rowOff>0</xdr:rowOff>
    </xdr:from>
    <xdr:to>
      <xdr:col>0</xdr:col>
      <xdr:colOff>171450</xdr:colOff>
      <xdr:row>55</xdr:row>
      <xdr:rowOff>171450</xdr:rowOff>
    </xdr:to>
    <xdr:pic>
      <xdr:nvPicPr>
        <xdr:cNvPr id="43" name="Picture 42" descr="*">
          <a:extLst>
            <a:ext uri="{FF2B5EF4-FFF2-40B4-BE49-F238E27FC236}">
              <a16:creationId xmlns:a16="http://schemas.microsoft.com/office/drawing/2014/main" xmlns="" id="{00000000-0008-0000-0000-00002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279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0</xdr:rowOff>
    </xdr:from>
    <xdr:to>
      <xdr:col>0</xdr:col>
      <xdr:colOff>171450</xdr:colOff>
      <xdr:row>56</xdr:row>
      <xdr:rowOff>171450</xdr:rowOff>
    </xdr:to>
    <xdr:pic>
      <xdr:nvPicPr>
        <xdr:cNvPr id="44" name="Picture 43" descr="*">
          <a:extLst>
            <a:ext uri="{FF2B5EF4-FFF2-40B4-BE49-F238E27FC236}">
              <a16:creationId xmlns:a16="http://schemas.microsoft.com/office/drawing/2014/main" xmlns="" id="{00000000-0008-0000-0000-00002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4703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171450</xdr:colOff>
      <xdr:row>57</xdr:row>
      <xdr:rowOff>171450</xdr:rowOff>
    </xdr:to>
    <xdr:pic>
      <xdr:nvPicPr>
        <xdr:cNvPr id="45" name="Picture 44" descr="*">
          <a:extLst>
            <a:ext uri="{FF2B5EF4-FFF2-40B4-BE49-F238E27FC236}">
              <a16:creationId xmlns:a16="http://schemas.microsoft.com/office/drawing/2014/main" xmlns="" id="{00000000-0008-0000-0000-00002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660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0</xdr:rowOff>
    </xdr:from>
    <xdr:to>
      <xdr:col>0</xdr:col>
      <xdr:colOff>171450</xdr:colOff>
      <xdr:row>58</xdr:row>
      <xdr:rowOff>171450</xdr:rowOff>
    </xdr:to>
    <xdr:pic>
      <xdr:nvPicPr>
        <xdr:cNvPr id="46" name="Picture 45" descr="*">
          <a:extLst>
            <a:ext uri="{FF2B5EF4-FFF2-40B4-BE49-F238E27FC236}">
              <a16:creationId xmlns:a16="http://schemas.microsoft.com/office/drawing/2014/main" xmlns="" id="{00000000-0008-0000-0000-00002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8513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171450</xdr:colOff>
      <xdr:row>30</xdr:row>
      <xdr:rowOff>171450</xdr:rowOff>
    </xdr:to>
    <xdr:pic>
      <xdr:nvPicPr>
        <xdr:cNvPr id="47" name="Picture 46" descr="*">
          <a:extLst>
            <a:ext uri="{FF2B5EF4-FFF2-40B4-BE49-F238E27FC236}">
              <a16:creationId xmlns:a16="http://schemas.microsoft.com/office/drawing/2014/main" xmlns="" id="{00000000-0008-0000-0000-00002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7755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1212850</xdr:colOff>
      <xdr:row>1</xdr:row>
      <xdr:rowOff>50800</xdr:rowOff>
    </xdr:from>
    <xdr:to>
      <xdr:col>2</xdr:col>
      <xdr:colOff>317500</xdr:colOff>
      <xdr:row>1</xdr:row>
      <xdr:rowOff>1263650</xdr:rowOff>
    </xdr:to>
    <xdr:pic>
      <xdr:nvPicPr>
        <xdr:cNvPr id="48" name="Picture 47" descr="H:\My Drive\Bali Logo\Explore Bali Logo JPG.jpg">
          <a:extLst>
            <a:ext uri="{FF2B5EF4-FFF2-40B4-BE49-F238E27FC236}">
              <a16:creationId xmlns:a16="http://schemas.microsoft.com/office/drawing/2014/main" xmlns="" id="{00000000-0008-0000-0000-00003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12850" y="234950"/>
          <a:ext cx="3257550" cy="1212850"/>
        </a:xfrm>
        <a:prstGeom prst="rect">
          <a:avLst/>
        </a:prstGeom>
        <a:noFill/>
        <a:ln>
          <a:noFill/>
        </a:ln>
      </xdr:spPr>
    </xdr:pic>
    <xdr:clientData/>
  </xdr:twoCellAnchor>
  <xdr:twoCellAnchor editAs="oneCell">
    <xdr:from>
      <xdr:col>0</xdr:col>
      <xdr:colOff>0</xdr:colOff>
      <xdr:row>32</xdr:row>
      <xdr:rowOff>0</xdr:rowOff>
    </xdr:from>
    <xdr:to>
      <xdr:col>0</xdr:col>
      <xdr:colOff>171450</xdr:colOff>
      <xdr:row>32</xdr:row>
      <xdr:rowOff>171450</xdr:rowOff>
    </xdr:to>
    <xdr:pic>
      <xdr:nvPicPr>
        <xdr:cNvPr id="49" name="Picture 48" descr="*">
          <a:extLst>
            <a:ext uri="{FF2B5EF4-FFF2-40B4-BE49-F238E27FC236}">
              <a16:creationId xmlns:a16="http://schemas.microsoft.com/office/drawing/2014/main" xmlns="" id="{00000000-0008-0000-0000-00003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50507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0</xdr:col>
      <xdr:colOff>171450</xdr:colOff>
      <xdr:row>41</xdr:row>
      <xdr:rowOff>171450</xdr:rowOff>
    </xdr:to>
    <xdr:pic>
      <xdr:nvPicPr>
        <xdr:cNvPr id="50" name="Picture 49" descr="*">
          <a:extLst>
            <a:ext uri="{FF2B5EF4-FFF2-40B4-BE49-F238E27FC236}">
              <a16:creationId xmlns:a16="http://schemas.microsoft.com/office/drawing/2014/main" xmlns="" id="{00000000-0008-0000-0000-00003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67652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7"/>
  <sheetViews>
    <sheetView tabSelected="1" topLeftCell="A7" zoomScale="85" zoomScaleNormal="85" zoomScalePageLayoutView="10" workbookViewId="0">
      <selection activeCell="D16" sqref="D16:E19"/>
    </sheetView>
  </sheetViews>
  <sheetFormatPr defaultColWidth="8.796875" defaultRowHeight="14" x14ac:dyDescent="0.3"/>
  <cols>
    <col min="1" max="2" width="32.69921875" style="19" customWidth="1"/>
    <col min="3" max="3" width="39.19921875" style="19" customWidth="1"/>
    <col min="4" max="4" width="24.69921875" style="19" customWidth="1"/>
    <col min="5" max="5" width="50.296875" style="19" customWidth="1"/>
    <col min="6" max="6" width="10.796875" style="19" customWidth="1"/>
    <col min="7" max="8" width="15.19921875" style="19" customWidth="1"/>
    <col min="9" max="9" width="13.5" style="19" customWidth="1"/>
    <col min="10" max="10" width="13.69921875" style="19" customWidth="1"/>
    <col min="11" max="11" width="24.19921875" style="19" customWidth="1"/>
    <col min="12" max="12" width="22.69921875" style="19" customWidth="1"/>
    <col min="13" max="14" width="16.796875" style="19" customWidth="1"/>
    <col min="15" max="15" width="137.69921875" style="19" customWidth="1"/>
    <col min="16" max="16" width="39.796875" style="19" customWidth="1"/>
    <col min="17" max="17" width="42.296875" style="19" customWidth="1"/>
    <col min="18" max="18" width="58.296875" style="19" bestFit="1" customWidth="1"/>
    <col min="19" max="20" width="8.796875" style="19"/>
    <col min="21" max="22" width="12.296875" style="19" customWidth="1"/>
    <col min="23" max="23" width="36.69921875" style="19" customWidth="1"/>
    <col min="24" max="16384" width="8.796875" style="19"/>
  </cols>
  <sheetData>
    <row r="1" spans="1:15" ht="14.5" thickBot="1" x14ac:dyDescent="0.35"/>
    <row r="2" spans="1:15" ht="105" customHeight="1" x14ac:dyDescent="0.3">
      <c r="A2" s="84" t="s">
        <v>42</v>
      </c>
      <c r="B2" s="85"/>
      <c r="C2" s="85"/>
      <c r="D2" s="85"/>
      <c r="E2" s="85"/>
      <c r="F2" s="86"/>
    </row>
    <row r="3" spans="1:15" ht="37" customHeight="1" x14ac:dyDescent="0.3">
      <c r="A3" s="4" t="s">
        <v>153</v>
      </c>
      <c r="B3" s="89" t="s">
        <v>154</v>
      </c>
      <c r="C3" s="90"/>
      <c r="D3" s="91"/>
      <c r="E3" s="89" t="s">
        <v>79</v>
      </c>
      <c r="F3" s="99"/>
      <c r="G3" s="2"/>
    </row>
    <row r="4" spans="1:15" ht="37" customHeight="1" x14ac:dyDescent="0.3">
      <c r="A4" s="1" t="s">
        <v>103</v>
      </c>
      <c r="B4" s="89" t="s">
        <v>45</v>
      </c>
      <c r="C4" s="90"/>
      <c r="D4" s="91"/>
      <c r="E4" s="39" t="s">
        <v>80</v>
      </c>
      <c r="F4" s="33">
        <v>2</v>
      </c>
      <c r="G4" s="2"/>
    </row>
    <row r="5" spans="1:15" ht="37" customHeight="1" x14ac:dyDescent="0.3">
      <c r="A5" s="23" t="s">
        <v>104</v>
      </c>
      <c r="B5" s="87" t="s">
        <v>106</v>
      </c>
      <c r="C5" s="92"/>
      <c r="D5" s="93"/>
      <c r="E5" s="87" t="s">
        <v>155</v>
      </c>
      <c r="F5" s="88"/>
      <c r="G5" s="3"/>
      <c r="H5" s="21"/>
      <c r="I5" s="21"/>
      <c r="J5" s="21"/>
      <c r="K5" s="21"/>
      <c r="L5" s="21"/>
    </row>
    <row r="6" spans="1:15" ht="30" customHeight="1" x14ac:dyDescent="0.3">
      <c r="A6" s="24" t="s">
        <v>1</v>
      </c>
      <c r="B6" s="94" t="s">
        <v>82</v>
      </c>
      <c r="C6" s="95"/>
      <c r="D6" s="96"/>
      <c r="E6" s="97" t="s">
        <v>41</v>
      </c>
      <c r="F6" s="98"/>
    </row>
    <row r="7" spans="1:15" ht="30" customHeight="1" x14ac:dyDescent="0.3">
      <c r="A7" s="4" t="s">
        <v>170</v>
      </c>
      <c r="B7" s="89"/>
      <c r="C7" s="90"/>
      <c r="D7" s="91"/>
      <c r="E7" s="36" t="s">
        <v>105</v>
      </c>
      <c r="F7" s="37">
        <v>0</v>
      </c>
      <c r="G7" s="38"/>
      <c r="O7" s="29"/>
    </row>
    <row r="8" spans="1:15" ht="30" customHeight="1" x14ac:dyDescent="0.3">
      <c r="A8" s="4" t="s">
        <v>171</v>
      </c>
      <c r="B8" s="89"/>
      <c r="C8" s="90"/>
      <c r="D8" s="91"/>
      <c r="E8" s="36" t="s">
        <v>105</v>
      </c>
      <c r="F8" s="37">
        <v>0</v>
      </c>
      <c r="G8" s="38"/>
      <c r="O8" s="29"/>
    </row>
    <row r="9" spans="1:15" ht="35.25" customHeight="1" x14ac:dyDescent="0.3">
      <c r="A9" s="4" t="s">
        <v>169</v>
      </c>
      <c r="B9" s="89"/>
      <c r="C9" s="90"/>
      <c r="D9" s="91"/>
      <c r="E9" s="36" t="s">
        <v>105</v>
      </c>
      <c r="F9" s="37">
        <v>0</v>
      </c>
    </row>
    <row r="10" spans="1:15" ht="35.25" customHeight="1" x14ac:dyDescent="0.3">
      <c r="A10" s="4" t="s">
        <v>172</v>
      </c>
      <c r="B10" s="89"/>
      <c r="C10" s="90"/>
      <c r="D10" s="91"/>
      <c r="E10" s="36" t="s">
        <v>105</v>
      </c>
      <c r="F10" s="37">
        <v>0</v>
      </c>
    </row>
    <row r="11" spans="1:15" ht="30" customHeight="1" thickBot="1" x14ac:dyDescent="0.35">
      <c r="A11" s="28" t="s">
        <v>38</v>
      </c>
      <c r="B11" s="25" t="s">
        <v>39</v>
      </c>
      <c r="C11" s="25" t="s">
        <v>0</v>
      </c>
      <c r="D11" s="52" t="s">
        <v>44</v>
      </c>
      <c r="E11" s="53"/>
      <c r="F11" s="46" t="s">
        <v>149</v>
      </c>
    </row>
    <row r="12" spans="1:15" ht="50.15" customHeight="1" thickBot="1" x14ac:dyDescent="0.35">
      <c r="A12" s="26">
        <v>45886</v>
      </c>
      <c r="B12" s="43" t="s">
        <v>78</v>
      </c>
      <c r="C12" s="27" t="s">
        <v>166</v>
      </c>
      <c r="D12" s="47" t="s">
        <v>83</v>
      </c>
      <c r="E12" s="48"/>
      <c r="F12" s="45" t="s">
        <v>152</v>
      </c>
      <c r="G12" s="30">
        <f>VLOOKUP(D12,Sheet1!A:B,2,FALSE)</f>
        <v>0</v>
      </c>
      <c r="H12" s="30">
        <f>VLOOKUP(D12,Sheet1!A:C,3,FALSE)</f>
        <v>10</v>
      </c>
      <c r="I12" s="19">
        <f>VLOOKUP(F12,Sheet1!E:F,2,FALSE)</f>
        <v>0</v>
      </c>
    </row>
    <row r="13" spans="1:15" ht="50.15" customHeight="1" thickBot="1" x14ac:dyDescent="0.35">
      <c r="A13" s="26">
        <v>45887</v>
      </c>
      <c r="B13" s="43" t="s">
        <v>78</v>
      </c>
      <c r="C13" s="44" t="s">
        <v>173</v>
      </c>
      <c r="D13" s="47" t="s">
        <v>83</v>
      </c>
      <c r="E13" s="48"/>
      <c r="F13" s="45" t="s">
        <v>152</v>
      </c>
      <c r="G13" s="30">
        <f>VLOOKUP(D13,Sheet1!A:B,2,FALSE)</f>
        <v>0</v>
      </c>
      <c r="H13" s="30">
        <f>VLOOKUP(D13,Sheet1!A:C,3,FALSE)</f>
        <v>10</v>
      </c>
      <c r="I13" s="19">
        <f>VLOOKUP(F13,Sheet1!E:F,2,FALSE)</f>
        <v>0</v>
      </c>
    </row>
    <row r="14" spans="1:15" ht="50.15" customHeight="1" thickBot="1" x14ac:dyDescent="0.35">
      <c r="A14" s="26">
        <v>45888</v>
      </c>
      <c r="B14" s="43" t="s">
        <v>78</v>
      </c>
      <c r="C14" s="44" t="s">
        <v>173</v>
      </c>
      <c r="D14" s="47" t="s">
        <v>83</v>
      </c>
      <c r="E14" s="48"/>
      <c r="F14" s="45" t="s">
        <v>152</v>
      </c>
      <c r="G14" s="30">
        <f>VLOOKUP(D14,Sheet1!A:B,2,FALSE)</f>
        <v>0</v>
      </c>
      <c r="H14" s="30">
        <f>VLOOKUP(D14,Sheet1!A:C,3,FALSE)</f>
        <v>10</v>
      </c>
      <c r="I14" s="19">
        <f>VLOOKUP(F14,Sheet1!E:F,2,FALSE)</f>
        <v>0</v>
      </c>
    </row>
    <row r="15" spans="1:15" ht="50.15" customHeight="1" thickBot="1" x14ac:dyDescent="0.35">
      <c r="A15" s="26">
        <v>45889</v>
      </c>
      <c r="B15" s="43" t="s">
        <v>78</v>
      </c>
      <c r="C15" s="44" t="s">
        <v>173</v>
      </c>
      <c r="D15" s="47" t="s">
        <v>83</v>
      </c>
      <c r="E15" s="48"/>
      <c r="F15" s="45"/>
      <c r="G15" s="30">
        <f>VLOOKUP(D15,Sheet1!A:B,2,FALSE)</f>
        <v>0</v>
      </c>
      <c r="H15" s="30">
        <f>VLOOKUP(D15,Sheet1!A:C,3,FALSE)</f>
        <v>10</v>
      </c>
      <c r="I15" s="19" t="e">
        <f>VLOOKUP(F15,Sheet1!E:F,2,FALSE)</f>
        <v>#N/A</v>
      </c>
    </row>
    <row r="16" spans="1:15" ht="50.15" customHeight="1" thickBot="1" x14ac:dyDescent="0.35">
      <c r="A16" s="26">
        <v>45890</v>
      </c>
      <c r="B16" s="43" t="s">
        <v>78</v>
      </c>
      <c r="C16" s="27"/>
      <c r="D16" s="47" t="s">
        <v>83</v>
      </c>
      <c r="E16" s="48"/>
      <c r="F16" s="45"/>
      <c r="G16" s="30">
        <f>VLOOKUP(D16,Sheet1!A:B,2,FALSE)</f>
        <v>0</v>
      </c>
      <c r="H16" s="30">
        <f>VLOOKUP(D16,Sheet1!A:C,3,FALSE)</f>
        <v>10</v>
      </c>
      <c r="I16" s="19" t="e">
        <f>VLOOKUP(F16,Sheet1!E:F,2,FALSE)</f>
        <v>#N/A</v>
      </c>
    </row>
    <row r="17" spans="1:9" ht="50.15" customHeight="1" thickBot="1" x14ac:dyDescent="0.35">
      <c r="A17" s="26">
        <v>45891</v>
      </c>
      <c r="B17" s="43" t="s">
        <v>78</v>
      </c>
      <c r="C17" s="27"/>
      <c r="D17" s="47" t="s">
        <v>83</v>
      </c>
      <c r="E17" s="48"/>
      <c r="F17" s="45"/>
      <c r="G17" s="30">
        <f>VLOOKUP(D17,Sheet1!A:B,2,FALSE)</f>
        <v>0</v>
      </c>
      <c r="H17" s="30">
        <f>VLOOKUP(D17,Sheet1!A:C,3,FALSE)</f>
        <v>10</v>
      </c>
      <c r="I17" s="19" t="e">
        <f>VLOOKUP(F17,Sheet1!E:F,2,FALSE)</f>
        <v>#N/A</v>
      </c>
    </row>
    <row r="18" spans="1:9" ht="50.15" customHeight="1" thickBot="1" x14ac:dyDescent="0.35">
      <c r="A18" s="26">
        <v>45892</v>
      </c>
      <c r="B18" s="43" t="s">
        <v>78</v>
      </c>
      <c r="C18" s="27"/>
      <c r="D18" s="47" t="s">
        <v>83</v>
      </c>
      <c r="E18" s="48"/>
      <c r="F18" s="45"/>
      <c r="G18" s="30">
        <f>VLOOKUP(D18,Sheet1!A:B,2,FALSE)</f>
        <v>0</v>
      </c>
      <c r="H18" s="30">
        <f>VLOOKUP(D18,Sheet1!A:C,3,FALSE)</f>
        <v>10</v>
      </c>
      <c r="I18" s="19" t="e">
        <f>VLOOKUP(F18,Sheet1!E:F,2,FALSE)</f>
        <v>#N/A</v>
      </c>
    </row>
    <row r="19" spans="1:9" ht="50.15" customHeight="1" x14ac:dyDescent="0.3">
      <c r="A19" s="26">
        <v>45893</v>
      </c>
      <c r="B19" s="43" t="s">
        <v>78</v>
      </c>
      <c r="C19" s="27"/>
      <c r="D19" s="47" t="s">
        <v>83</v>
      </c>
      <c r="E19" s="48"/>
      <c r="F19" s="45"/>
      <c r="G19" s="30">
        <f>VLOOKUP(D19,Sheet1!A:B,2,FALSE)</f>
        <v>0</v>
      </c>
      <c r="H19" s="30">
        <f>VLOOKUP(D19,Sheet1!A:C,3,FALSE)</f>
        <v>10</v>
      </c>
      <c r="I19" s="19" t="e">
        <f>VLOOKUP(F19,Sheet1!E:F,2,FALSE)</f>
        <v>#N/A</v>
      </c>
    </row>
    <row r="20" spans="1:9" ht="57.75" customHeight="1" x14ac:dyDescent="0.3">
      <c r="A20" s="49" t="s">
        <v>164</v>
      </c>
      <c r="B20" s="50"/>
      <c r="C20" s="50"/>
      <c r="D20" s="50"/>
      <c r="E20" s="50"/>
      <c r="F20" s="51"/>
    </row>
    <row r="21" spans="1:9" ht="18.75" customHeight="1" x14ac:dyDescent="0.3">
      <c r="A21" s="100" t="s">
        <v>81</v>
      </c>
      <c r="B21" s="101"/>
      <c r="C21" s="101"/>
      <c r="D21" s="101"/>
      <c r="E21" s="101"/>
      <c r="F21" s="102"/>
      <c r="G21" s="31">
        <f>SUM(G12:G19)</f>
        <v>0</v>
      </c>
      <c r="H21" s="31">
        <f>SUM(H12:H19)</f>
        <v>80</v>
      </c>
      <c r="I21" s="31" t="e">
        <f>SUM(I12:I19)</f>
        <v>#N/A</v>
      </c>
    </row>
    <row r="22" spans="1:9" ht="35.25" customHeight="1" x14ac:dyDescent="0.3">
      <c r="A22" s="81" t="s">
        <v>43</v>
      </c>
      <c r="B22" s="82"/>
      <c r="C22" s="82"/>
      <c r="D22" s="82"/>
      <c r="E22" s="82"/>
      <c r="F22" s="83"/>
      <c r="H22" s="19">
        <f>(H21/F4)</f>
        <v>40</v>
      </c>
    </row>
    <row r="23" spans="1:9" ht="22.5" customHeight="1" thickBot="1" x14ac:dyDescent="0.35">
      <c r="A23" s="78" t="s">
        <v>156</v>
      </c>
      <c r="B23" s="79"/>
      <c r="C23" s="79"/>
      <c r="D23" s="79"/>
      <c r="E23" s="79"/>
      <c r="F23" s="80"/>
      <c r="G23" s="38" t="e">
        <f>SUM(G21,H22,I21,)</f>
        <v>#N/A</v>
      </c>
    </row>
    <row r="24" spans="1:9" ht="22.5" customHeight="1" thickBot="1" x14ac:dyDescent="0.35">
      <c r="A24" s="78" t="s">
        <v>157</v>
      </c>
      <c r="B24" s="79"/>
      <c r="C24" s="79"/>
      <c r="D24" s="79"/>
      <c r="E24" s="79"/>
      <c r="F24" s="80"/>
      <c r="G24" s="38"/>
    </row>
    <row r="25" spans="1:9" ht="19.399999999999999" customHeight="1" thickBot="1" x14ac:dyDescent="0.35">
      <c r="A25" s="34"/>
      <c r="F25" s="35"/>
    </row>
    <row r="26" spans="1:9" ht="62.15" customHeight="1" x14ac:dyDescent="0.3">
      <c r="A26" s="75" t="s">
        <v>33</v>
      </c>
      <c r="B26" s="76"/>
      <c r="C26" s="76"/>
      <c r="D26" s="76"/>
      <c r="E26" s="76"/>
      <c r="F26" s="77"/>
    </row>
    <row r="27" spans="1:9" ht="21.65" customHeight="1" x14ac:dyDescent="0.3">
      <c r="A27" s="54" t="s">
        <v>46</v>
      </c>
      <c r="B27" s="55"/>
      <c r="C27" s="55"/>
      <c r="D27" s="55"/>
      <c r="E27" s="55"/>
      <c r="F27" s="56"/>
    </row>
    <row r="28" spans="1:9" ht="15" customHeight="1" x14ac:dyDescent="0.3">
      <c r="A28" s="54" t="s">
        <v>47</v>
      </c>
      <c r="B28" s="55"/>
      <c r="C28" s="55"/>
      <c r="D28" s="55"/>
      <c r="E28" s="55"/>
      <c r="F28" s="56"/>
    </row>
    <row r="29" spans="1:9" x14ac:dyDescent="0.3">
      <c r="A29" s="54" t="s">
        <v>48</v>
      </c>
      <c r="B29" s="55"/>
      <c r="C29" s="55"/>
      <c r="D29" s="55"/>
      <c r="E29" s="55"/>
      <c r="F29" s="56"/>
    </row>
    <row r="30" spans="1:9" x14ac:dyDescent="0.3">
      <c r="A30" s="54" t="s">
        <v>49</v>
      </c>
      <c r="B30" s="55"/>
      <c r="C30" s="55"/>
      <c r="D30" s="55"/>
      <c r="E30" s="55"/>
      <c r="F30" s="56"/>
    </row>
    <row r="31" spans="1:9" x14ac:dyDescent="0.3">
      <c r="A31" s="54" t="s">
        <v>71</v>
      </c>
      <c r="B31" s="55"/>
      <c r="C31" s="55"/>
      <c r="D31" s="55"/>
      <c r="E31" s="55"/>
      <c r="F31" s="56"/>
    </row>
    <row r="32" spans="1:9" x14ac:dyDescent="0.3">
      <c r="A32" s="54" t="s">
        <v>50</v>
      </c>
      <c r="B32" s="55"/>
      <c r="C32" s="55"/>
      <c r="D32" s="55"/>
      <c r="E32" s="55"/>
      <c r="F32" s="56"/>
    </row>
    <row r="33" spans="1:6" x14ac:dyDescent="0.3">
      <c r="A33" s="54" t="s">
        <v>75</v>
      </c>
      <c r="B33" s="55"/>
      <c r="C33" s="55"/>
      <c r="D33" s="55"/>
      <c r="E33" s="55"/>
      <c r="F33" s="56"/>
    </row>
    <row r="34" spans="1:6" x14ac:dyDescent="0.3">
      <c r="A34" s="54" t="s">
        <v>76</v>
      </c>
      <c r="B34" s="55"/>
      <c r="C34" s="55"/>
      <c r="D34" s="55"/>
      <c r="E34" s="55"/>
      <c r="F34" s="56"/>
    </row>
    <row r="35" spans="1:6" x14ac:dyDescent="0.3">
      <c r="A35" s="63"/>
      <c r="B35" s="64"/>
      <c r="C35" s="64"/>
      <c r="D35" s="64"/>
      <c r="E35" s="64"/>
      <c r="F35" s="65"/>
    </row>
    <row r="36" spans="1:6" x14ac:dyDescent="0.3">
      <c r="A36" s="60" t="s">
        <v>34</v>
      </c>
      <c r="B36" s="61"/>
      <c r="C36" s="61"/>
      <c r="D36" s="61"/>
      <c r="E36" s="61"/>
      <c r="F36" s="62"/>
    </row>
    <row r="37" spans="1:6" x14ac:dyDescent="0.3">
      <c r="A37" s="54" t="s">
        <v>51</v>
      </c>
      <c r="B37" s="55"/>
      <c r="C37" s="55"/>
      <c r="D37" s="55"/>
      <c r="E37" s="55"/>
      <c r="F37" s="56"/>
    </row>
    <row r="38" spans="1:6" x14ac:dyDescent="0.3">
      <c r="A38" s="54" t="s">
        <v>52</v>
      </c>
      <c r="B38" s="55"/>
      <c r="C38" s="55"/>
      <c r="D38" s="55"/>
      <c r="E38" s="55"/>
      <c r="F38" s="56"/>
    </row>
    <row r="39" spans="1:6" x14ac:dyDescent="0.3">
      <c r="A39" s="54" t="s">
        <v>53</v>
      </c>
      <c r="B39" s="55"/>
      <c r="C39" s="55"/>
      <c r="D39" s="55"/>
      <c r="E39" s="55"/>
      <c r="F39" s="56"/>
    </row>
    <row r="40" spans="1:6" x14ac:dyDescent="0.3">
      <c r="A40" s="54" t="s">
        <v>54</v>
      </c>
      <c r="B40" s="55"/>
      <c r="C40" s="55"/>
      <c r="D40" s="55"/>
      <c r="E40" s="55"/>
      <c r="F40" s="56"/>
    </row>
    <row r="41" spans="1:6" x14ac:dyDescent="0.3">
      <c r="A41" s="54" t="s">
        <v>72</v>
      </c>
      <c r="B41" s="55"/>
      <c r="C41" s="55"/>
      <c r="D41" s="55"/>
      <c r="E41" s="55"/>
      <c r="F41" s="56"/>
    </row>
    <row r="42" spans="1:6" x14ac:dyDescent="0.3">
      <c r="A42" s="54" t="s">
        <v>77</v>
      </c>
      <c r="B42" s="55"/>
      <c r="C42" s="55"/>
      <c r="D42" s="55"/>
      <c r="E42" s="55"/>
      <c r="F42" s="56"/>
    </row>
    <row r="43" spans="1:6" x14ac:dyDescent="0.3">
      <c r="A43" s="54" t="s">
        <v>55</v>
      </c>
      <c r="B43" s="55"/>
      <c r="C43" s="55"/>
      <c r="D43" s="55"/>
      <c r="E43" s="55"/>
      <c r="F43" s="56"/>
    </row>
    <row r="44" spans="1:6" x14ac:dyDescent="0.3">
      <c r="A44" s="63"/>
      <c r="B44" s="64"/>
      <c r="C44" s="64"/>
      <c r="D44" s="64"/>
      <c r="E44" s="64"/>
      <c r="F44" s="65"/>
    </row>
    <row r="45" spans="1:6" x14ac:dyDescent="0.3">
      <c r="A45" s="60" t="s">
        <v>35</v>
      </c>
      <c r="B45" s="61"/>
      <c r="C45" s="61"/>
      <c r="D45" s="61"/>
      <c r="E45" s="61"/>
      <c r="F45" s="62"/>
    </row>
    <row r="46" spans="1:6" x14ac:dyDescent="0.3">
      <c r="A46" s="54" t="s">
        <v>56</v>
      </c>
      <c r="B46" s="55"/>
      <c r="C46" s="55"/>
      <c r="D46" s="55"/>
      <c r="E46" s="55"/>
      <c r="F46" s="56"/>
    </row>
    <row r="47" spans="1:6" x14ac:dyDescent="0.3">
      <c r="A47" s="54" t="s">
        <v>57</v>
      </c>
      <c r="B47" s="55"/>
      <c r="C47" s="55"/>
      <c r="D47" s="55"/>
      <c r="E47" s="55"/>
      <c r="F47" s="56"/>
    </row>
    <row r="48" spans="1:6" x14ac:dyDescent="0.3">
      <c r="A48" s="54" t="s">
        <v>58</v>
      </c>
      <c r="B48" s="55"/>
      <c r="C48" s="55"/>
      <c r="D48" s="55"/>
      <c r="E48" s="55"/>
      <c r="F48" s="56"/>
    </row>
    <row r="49" spans="1:14" x14ac:dyDescent="0.3">
      <c r="A49" s="54" t="s">
        <v>59</v>
      </c>
      <c r="B49" s="55"/>
      <c r="C49" s="55"/>
      <c r="D49" s="55"/>
      <c r="E49" s="55"/>
      <c r="F49" s="56"/>
    </row>
    <row r="50" spans="1:14" x14ac:dyDescent="0.3">
      <c r="A50" s="54" t="s">
        <v>60</v>
      </c>
      <c r="B50" s="55"/>
      <c r="C50" s="55"/>
      <c r="D50" s="55"/>
      <c r="E50" s="55"/>
      <c r="F50" s="56"/>
    </row>
    <row r="51" spans="1:14" ht="15" customHeight="1" x14ac:dyDescent="0.3">
      <c r="A51" s="57" t="s">
        <v>40</v>
      </c>
      <c r="B51" s="58"/>
      <c r="C51" s="58"/>
      <c r="D51" s="58"/>
      <c r="E51" s="58"/>
      <c r="F51" s="59"/>
    </row>
    <row r="52" spans="1:14" ht="15" customHeight="1" x14ac:dyDescent="0.3">
      <c r="A52" s="57" t="s">
        <v>73</v>
      </c>
      <c r="B52" s="58"/>
      <c r="C52" s="58"/>
      <c r="D52" s="58"/>
      <c r="E52" s="58"/>
      <c r="F52" s="59"/>
    </row>
    <row r="53" spans="1:14" ht="15" customHeight="1" x14ac:dyDescent="0.3">
      <c r="A53" s="69"/>
      <c r="B53" s="70"/>
      <c r="C53" s="70"/>
      <c r="D53" s="70"/>
      <c r="E53" s="70"/>
      <c r="F53" s="71"/>
    </row>
    <row r="54" spans="1:14" ht="15" customHeight="1" x14ac:dyDescent="0.3">
      <c r="A54" s="72" t="s">
        <v>65</v>
      </c>
      <c r="B54" s="73"/>
      <c r="C54" s="73"/>
      <c r="D54" s="73"/>
      <c r="E54" s="73"/>
      <c r="F54" s="74"/>
    </row>
    <row r="55" spans="1:14" ht="15" customHeight="1" x14ac:dyDescent="0.3">
      <c r="A55" s="57" t="s">
        <v>66</v>
      </c>
      <c r="B55" s="58"/>
      <c r="C55" s="58"/>
      <c r="D55" s="58"/>
      <c r="E55" s="58"/>
      <c r="F55" s="59"/>
    </row>
    <row r="56" spans="1:14" ht="15" customHeight="1" x14ac:dyDescent="0.3">
      <c r="A56" s="57" t="s">
        <v>67</v>
      </c>
      <c r="B56" s="58"/>
      <c r="C56" s="58"/>
      <c r="D56" s="58"/>
      <c r="E56" s="58"/>
      <c r="F56" s="59"/>
    </row>
    <row r="57" spans="1:14" ht="15" customHeight="1" x14ac:dyDescent="0.3">
      <c r="A57" s="57" t="s">
        <v>68</v>
      </c>
      <c r="B57" s="58"/>
      <c r="C57" s="58"/>
      <c r="D57" s="58"/>
      <c r="E57" s="58"/>
      <c r="F57" s="59"/>
    </row>
    <row r="58" spans="1:14" ht="15" customHeight="1" x14ac:dyDescent="0.3">
      <c r="A58" s="57" t="s">
        <v>69</v>
      </c>
      <c r="B58" s="58"/>
      <c r="C58" s="58"/>
      <c r="D58" s="58"/>
      <c r="E58" s="58"/>
      <c r="F58" s="59"/>
    </row>
    <row r="59" spans="1:14" ht="15" customHeight="1" x14ac:dyDescent="0.3">
      <c r="A59" s="57" t="s">
        <v>70</v>
      </c>
      <c r="B59" s="58"/>
      <c r="C59" s="58"/>
      <c r="D59" s="58"/>
      <c r="E59" s="58"/>
      <c r="F59" s="59"/>
    </row>
    <row r="60" spans="1:14" ht="28.5" customHeight="1" x14ac:dyDescent="0.3">
      <c r="A60" s="60" t="s">
        <v>36</v>
      </c>
      <c r="B60" s="61"/>
      <c r="C60" s="61"/>
      <c r="D60" s="61"/>
      <c r="E60" s="61"/>
      <c r="F60" s="62"/>
      <c r="G60" s="20"/>
      <c r="H60" s="20"/>
      <c r="I60" s="22"/>
      <c r="J60" s="22"/>
      <c r="K60" s="22"/>
      <c r="L60" s="22"/>
      <c r="M60" s="22"/>
      <c r="N60" s="22"/>
    </row>
    <row r="61" spans="1:14" ht="14.15" customHeight="1" x14ac:dyDescent="0.3">
      <c r="A61" s="54" t="s">
        <v>61</v>
      </c>
      <c r="B61" s="55"/>
      <c r="C61" s="55"/>
      <c r="D61" s="55"/>
      <c r="E61" s="55"/>
      <c r="F61" s="56"/>
      <c r="G61" s="20"/>
      <c r="H61" s="20"/>
      <c r="I61" s="20"/>
      <c r="J61" s="20"/>
      <c r="K61" s="20"/>
      <c r="L61" s="20"/>
      <c r="M61" s="20"/>
      <c r="N61" s="20"/>
    </row>
    <row r="62" spans="1:14" x14ac:dyDescent="0.3">
      <c r="A62" s="54" t="s">
        <v>62</v>
      </c>
      <c r="B62" s="55"/>
      <c r="C62" s="55"/>
      <c r="D62" s="55"/>
      <c r="E62" s="55"/>
      <c r="F62" s="56"/>
    </row>
    <row r="63" spans="1:14" x14ac:dyDescent="0.3">
      <c r="A63" s="54" t="s">
        <v>63</v>
      </c>
      <c r="B63" s="55"/>
      <c r="C63" s="55"/>
      <c r="D63" s="55"/>
      <c r="E63" s="55"/>
      <c r="F63" s="56"/>
    </row>
    <row r="64" spans="1:14" x14ac:dyDescent="0.3">
      <c r="A64" s="54" t="s">
        <v>64</v>
      </c>
      <c r="B64" s="55"/>
      <c r="C64" s="55"/>
      <c r="D64" s="55"/>
      <c r="E64" s="55"/>
      <c r="F64" s="56"/>
      <c r="G64" s="32"/>
    </row>
    <row r="65" spans="1:7" x14ac:dyDescent="0.3">
      <c r="A65" s="40"/>
      <c r="B65" s="42"/>
      <c r="C65" s="42"/>
      <c r="D65" s="42"/>
      <c r="E65" s="42"/>
      <c r="F65" s="41"/>
      <c r="G65" s="32"/>
    </row>
    <row r="66" spans="1:7" x14ac:dyDescent="0.3">
      <c r="A66" s="60" t="s">
        <v>37</v>
      </c>
      <c r="B66" s="61"/>
      <c r="C66" s="61"/>
      <c r="D66" s="61"/>
      <c r="E66" s="61"/>
      <c r="F66" s="62"/>
    </row>
    <row r="67" spans="1:7" ht="33.75" customHeight="1" thickBot="1" x14ac:dyDescent="0.35">
      <c r="A67" s="66" t="s">
        <v>74</v>
      </c>
      <c r="B67" s="67"/>
      <c r="C67" s="67"/>
      <c r="D67" s="67"/>
      <c r="E67" s="67"/>
      <c r="F67" s="68"/>
    </row>
  </sheetData>
  <mergeCells count="67">
    <mergeCell ref="B9:D9"/>
    <mergeCell ref="A22:F22"/>
    <mergeCell ref="A2:F2"/>
    <mergeCell ref="E5:F5"/>
    <mergeCell ref="B3:D3"/>
    <mergeCell ref="B4:D4"/>
    <mergeCell ref="B5:D5"/>
    <mergeCell ref="B6:D6"/>
    <mergeCell ref="E6:F6"/>
    <mergeCell ref="B7:D7"/>
    <mergeCell ref="B10:D10"/>
    <mergeCell ref="E3:F3"/>
    <mergeCell ref="B8:D8"/>
    <mergeCell ref="A21:F21"/>
    <mergeCell ref="D17:E17"/>
    <mergeCell ref="D18:E18"/>
    <mergeCell ref="D19:E19"/>
    <mergeCell ref="A26:F26"/>
    <mergeCell ref="A27:F27"/>
    <mergeCell ref="A23:F23"/>
    <mergeCell ref="A31:F31"/>
    <mergeCell ref="A33:F33"/>
    <mergeCell ref="A24:F24"/>
    <mergeCell ref="A32:F32"/>
    <mergeCell ref="A28:F28"/>
    <mergeCell ref="A36:F36"/>
    <mergeCell ref="A37:F37"/>
    <mergeCell ref="A29:F29"/>
    <mergeCell ref="A30:F30"/>
    <mergeCell ref="A35:F35"/>
    <mergeCell ref="A34:F34"/>
    <mergeCell ref="A67:F67"/>
    <mergeCell ref="A53:F53"/>
    <mergeCell ref="A54:F54"/>
    <mergeCell ref="A55:F55"/>
    <mergeCell ref="A57:F57"/>
    <mergeCell ref="A61:F61"/>
    <mergeCell ref="A62:F62"/>
    <mergeCell ref="A58:F58"/>
    <mergeCell ref="A60:F60"/>
    <mergeCell ref="A56:F56"/>
    <mergeCell ref="A63:F63"/>
    <mergeCell ref="A66:F66"/>
    <mergeCell ref="A64:F64"/>
    <mergeCell ref="A59:F59"/>
    <mergeCell ref="A40:F40"/>
    <mergeCell ref="A52:F52"/>
    <mergeCell ref="A38:F38"/>
    <mergeCell ref="A39:F39"/>
    <mergeCell ref="A50:F50"/>
    <mergeCell ref="A41:F41"/>
    <mergeCell ref="A45:F45"/>
    <mergeCell ref="A43:F43"/>
    <mergeCell ref="A49:F49"/>
    <mergeCell ref="A46:F46"/>
    <mergeCell ref="A47:F47"/>
    <mergeCell ref="A48:F48"/>
    <mergeCell ref="A42:F42"/>
    <mergeCell ref="A44:F44"/>
    <mergeCell ref="A51:F51"/>
    <mergeCell ref="D16:E16"/>
    <mergeCell ref="A20:F20"/>
    <mergeCell ref="D11:E11"/>
    <mergeCell ref="D12:E12"/>
    <mergeCell ref="D13:E13"/>
    <mergeCell ref="D14:E14"/>
    <mergeCell ref="D15:E15"/>
  </mergeCells>
  <dataValidations count="3">
    <dataValidation errorStyle="information" allowBlank="1" showInputMessage="1" showErrorMessage="1" sqref="A3 B5:D5 E3:F3"/>
    <dataValidation type="list" errorStyle="information" allowBlank="1" showInputMessage="1" showErrorMessage="1" sqref="B7:B10 C9:D10 C7:D7 C12:C19">
      <formula1>#REF!</formula1>
    </dataValidation>
    <dataValidation type="list" errorStyle="information" allowBlank="1" showInputMessage="1" showErrorMessage="1" sqref="A7:A10">
      <formula1>"KUTA, UBUD, NUSA DUA, GILI TRAWANGAN, NUSA PENIDA, SEMINYAK, LEGIAN, JIMBARAN, CANGGU, TABANAN"</formula1>
    </dataValidation>
  </dataValidations>
  <printOptions horizontalCentered="1"/>
  <pageMargins left="0.7" right="0.7" top="0.75" bottom="0.75" header="0.3" footer="0.3"/>
  <pageSetup paperSize="5" scale="51" orientation="portrait" r:id="rId1"/>
  <headerFooter alignWithMargins="0"/>
  <rowBreaks count="1" manualBreakCount="1">
    <brk id="27" max="16383" man="1"/>
  </rowBreaks>
  <colBreaks count="1" manualBreakCount="1">
    <brk id="14" max="1048575" man="1"/>
  </colBreaks>
  <drawing r:id="rId2"/>
  <extLst>
    <ext xmlns:x14="http://schemas.microsoft.com/office/spreadsheetml/2009/9/main" uri="{CCE6A557-97BC-4b89-ADB6-D9C93CAAB3DF}">
      <x14:dataValidations xmlns:xm="http://schemas.microsoft.com/office/excel/2006/main" count="3">
        <x14:dataValidation type="list" errorStyle="information" allowBlank="1" showInputMessage="1" showErrorMessage="1">
          <x14:formula1>
            <xm:f>Sheet1!$A$1:$A$101</xm:f>
          </x14:formula1>
          <xm:sqref>F15:F19</xm:sqref>
        </x14:dataValidation>
        <x14:dataValidation type="list" errorStyle="information" allowBlank="1" showInputMessage="1" showErrorMessage="1">
          <x14:formula1>
            <xm:f>Sheet1!$E$1:$E$3</xm:f>
          </x14:formula1>
          <xm:sqref>F12:F14</xm:sqref>
        </x14:dataValidation>
        <x14:dataValidation type="list" errorStyle="information" allowBlank="1" showInputMessage="1" showErrorMessage="1">
          <x14:formula1>
            <xm:f>Sheet1!$A$1:$A$151</xm:f>
          </x14:formula1>
          <xm:sqref>D12:E19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
  <sheetViews>
    <sheetView topLeftCell="A136" zoomScale="115" zoomScaleNormal="115" workbookViewId="0">
      <selection activeCell="A109" sqref="A109"/>
    </sheetView>
  </sheetViews>
  <sheetFormatPr defaultRowHeight="17.149999999999999" customHeight="1" x14ac:dyDescent="0.3"/>
  <cols>
    <col min="1" max="1" width="255.796875" bestFit="1" customWidth="1"/>
  </cols>
  <sheetData>
    <row r="1" spans="1:6" ht="17.149999999999999" customHeight="1" x14ac:dyDescent="0.3">
      <c r="A1" t="s">
        <v>83</v>
      </c>
      <c r="C1">
        <v>10</v>
      </c>
      <c r="E1" t="s">
        <v>150</v>
      </c>
      <c r="F1">
        <v>17</v>
      </c>
    </row>
    <row r="2" spans="1:6" ht="17.149999999999999" customHeight="1" x14ac:dyDescent="0.3">
      <c r="A2" t="s">
        <v>93</v>
      </c>
      <c r="C2">
        <v>10</v>
      </c>
      <c r="E2" t="s">
        <v>151</v>
      </c>
      <c r="F2">
        <v>15</v>
      </c>
    </row>
    <row r="3" spans="1:6" ht="17.149999999999999" customHeight="1" x14ac:dyDescent="0.3">
      <c r="A3" t="s">
        <v>84</v>
      </c>
      <c r="C3">
        <v>17</v>
      </c>
      <c r="E3" t="s">
        <v>152</v>
      </c>
      <c r="F3">
        <v>0</v>
      </c>
    </row>
    <row r="4" spans="1:6" ht="17.149999999999999" customHeight="1" x14ac:dyDescent="0.3">
      <c r="A4" t="s">
        <v>94</v>
      </c>
      <c r="C4">
        <v>17</v>
      </c>
    </row>
    <row r="5" spans="1:6" ht="17.149999999999999" customHeight="1" x14ac:dyDescent="0.3">
      <c r="A5" t="s">
        <v>85</v>
      </c>
      <c r="C5">
        <v>10</v>
      </c>
    </row>
    <row r="6" spans="1:6" ht="17.149999999999999" customHeight="1" x14ac:dyDescent="0.3">
      <c r="A6" t="s">
        <v>95</v>
      </c>
      <c r="C6">
        <v>10</v>
      </c>
    </row>
    <row r="7" spans="1:6" ht="17.149999999999999" customHeight="1" x14ac:dyDescent="0.3">
      <c r="A7" t="s">
        <v>86</v>
      </c>
      <c r="C7">
        <v>12</v>
      </c>
    </row>
    <row r="8" spans="1:6" ht="17.149999999999999" customHeight="1" x14ac:dyDescent="0.3">
      <c r="A8" t="s">
        <v>96</v>
      </c>
      <c r="C8">
        <v>12</v>
      </c>
    </row>
    <row r="9" spans="1:6" ht="17.149999999999999" customHeight="1" x14ac:dyDescent="0.3">
      <c r="A9" t="s">
        <v>87</v>
      </c>
      <c r="C9">
        <v>14</v>
      </c>
    </row>
    <row r="10" spans="1:6" ht="17.149999999999999" customHeight="1" x14ac:dyDescent="0.3">
      <c r="A10" t="s">
        <v>97</v>
      </c>
      <c r="C10">
        <v>14</v>
      </c>
    </row>
    <row r="11" spans="1:6" ht="17.149999999999999" customHeight="1" x14ac:dyDescent="0.3">
      <c r="A11" t="s">
        <v>88</v>
      </c>
      <c r="C11">
        <v>10</v>
      </c>
    </row>
    <row r="12" spans="1:6" ht="17.149999999999999" customHeight="1" x14ac:dyDescent="0.3">
      <c r="A12" t="s">
        <v>98</v>
      </c>
      <c r="C12">
        <v>10</v>
      </c>
    </row>
    <row r="13" spans="1:6" ht="17.149999999999999" customHeight="1" x14ac:dyDescent="0.3">
      <c r="A13" t="s">
        <v>89</v>
      </c>
      <c r="C13">
        <v>10</v>
      </c>
    </row>
    <row r="14" spans="1:6" ht="17.149999999999999" customHeight="1" x14ac:dyDescent="0.3">
      <c r="A14" t="s">
        <v>99</v>
      </c>
      <c r="C14">
        <v>10</v>
      </c>
    </row>
    <row r="15" spans="1:6" ht="17.149999999999999" customHeight="1" x14ac:dyDescent="0.3">
      <c r="A15" t="s">
        <v>90</v>
      </c>
      <c r="C15">
        <v>15</v>
      </c>
    </row>
    <row r="16" spans="1:6" ht="17.149999999999999" customHeight="1" x14ac:dyDescent="0.3">
      <c r="A16" t="s">
        <v>100</v>
      </c>
      <c r="C16">
        <v>15</v>
      </c>
    </row>
    <row r="17" spans="1:3" ht="17.149999999999999" customHeight="1" x14ac:dyDescent="0.3">
      <c r="A17" t="s">
        <v>91</v>
      </c>
      <c r="C17">
        <v>32</v>
      </c>
    </row>
    <row r="18" spans="1:3" ht="17.149999999999999" customHeight="1" x14ac:dyDescent="0.3">
      <c r="A18" t="s">
        <v>101</v>
      </c>
      <c r="C18">
        <v>32</v>
      </c>
    </row>
    <row r="19" spans="1:3" ht="17.149999999999999" customHeight="1" x14ac:dyDescent="0.3">
      <c r="A19" t="s">
        <v>92</v>
      </c>
      <c r="C19">
        <v>38</v>
      </c>
    </row>
    <row r="20" spans="1:3" ht="17.149999999999999" customHeight="1" x14ac:dyDescent="0.3">
      <c r="A20" t="s">
        <v>102</v>
      </c>
      <c r="C20">
        <v>38</v>
      </c>
    </row>
    <row r="22" spans="1:3" ht="17.149999999999999" customHeight="1" x14ac:dyDescent="0.3">
      <c r="A22" t="s">
        <v>107</v>
      </c>
      <c r="C22">
        <v>17</v>
      </c>
    </row>
    <row r="23" spans="1:3" ht="17.149999999999999" customHeight="1" x14ac:dyDescent="0.3">
      <c r="A23" t="s">
        <v>108</v>
      </c>
      <c r="C23">
        <v>17</v>
      </c>
    </row>
    <row r="24" spans="1:3" ht="17.149999999999999" customHeight="1" x14ac:dyDescent="0.3">
      <c r="A24" t="s">
        <v>109</v>
      </c>
      <c r="C24">
        <v>11</v>
      </c>
    </row>
    <row r="25" spans="1:3" ht="17.149999999999999" customHeight="1" x14ac:dyDescent="0.3">
      <c r="A25" t="s">
        <v>110</v>
      </c>
      <c r="C25">
        <v>11</v>
      </c>
    </row>
    <row r="26" spans="1:3" ht="17.149999999999999" customHeight="1" x14ac:dyDescent="0.3">
      <c r="A26" t="s">
        <v>111</v>
      </c>
      <c r="C26">
        <v>14</v>
      </c>
    </row>
    <row r="27" spans="1:3" ht="17.149999999999999" customHeight="1" x14ac:dyDescent="0.3">
      <c r="A27" t="s">
        <v>112</v>
      </c>
      <c r="C27">
        <v>14</v>
      </c>
    </row>
    <row r="28" spans="1:3" ht="17.149999999999999" customHeight="1" x14ac:dyDescent="0.3">
      <c r="A28" t="s">
        <v>113</v>
      </c>
      <c r="C28">
        <v>22</v>
      </c>
    </row>
    <row r="29" spans="1:3" ht="17.149999999999999" customHeight="1" x14ac:dyDescent="0.3">
      <c r="A29" t="s">
        <v>114</v>
      </c>
      <c r="C29">
        <v>22</v>
      </c>
    </row>
    <row r="30" spans="1:3" ht="17.149999999999999" customHeight="1" x14ac:dyDescent="0.3">
      <c r="A30" t="s">
        <v>115</v>
      </c>
      <c r="C30">
        <v>17</v>
      </c>
    </row>
    <row r="31" spans="1:3" ht="17.149999999999999" customHeight="1" x14ac:dyDescent="0.3">
      <c r="A31" t="s">
        <v>116</v>
      </c>
      <c r="C31">
        <v>17</v>
      </c>
    </row>
    <row r="32" spans="1:3" ht="17.149999999999999" customHeight="1" x14ac:dyDescent="0.3">
      <c r="A32" t="s">
        <v>117</v>
      </c>
      <c r="C32">
        <v>12</v>
      </c>
    </row>
    <row r="33" spans="1:3" ht="17.149999999999999" customHeight="1" x14ac:dyDescent="0.3">
      <c r="A33" t="s">
        <v>118</v>
      </c>
      <c r="C33">
        <v>12</v>
      </c>
    </row>
    <row r="34" spans="1:3" ht="17.149999999999999" customHeight="1" x14ac:dyDescent="0.3">
      <c r="A34" t="s">
        <v>119</v>
      </c>
      <c r="C34">
        <v>13</v>
      </c>
    </row>
    <row r="35" spans="1:3" ht="17.149999999999999" customHeight="1" x14ac:dyDescent="0.3">
      <c r="A35" t="s">
        <v>120</v>
      </c>
      <c r="C35">
        <v>13</v>
      </c>
    </row>
    <row r="37" spans="1:3" ht="17.149999999999999" customHeight="1" x14ac:dyDescent="0.3">
      <c r="A37" t="s">
        <v>158</v>
      </c>
      <c r="B37">
        <v>23</v>
      </c>
      <c r="C37">
        <v>26</v>
      </c>
    </row>
    <row r="39" spans="1:3" ht="17.149999999999999" customHeight="1" x14ac:dyDescent="0.3">
      <c r="A39" s="8" t="s">
        <v>160</v>
      </c>
      <c r="B39">
        <v>57</v>
      </c>
      <c r="C39">
        <v>31</v>
      </c>
    </row>
    <row r="41" spans="1:3" ht="17.149999999999999" customHeight="1" x14ac:dyDescent="0.3">
      <c r="A41" t="s">
        <v>121</v>
      </c>
      <c r="B41">
        <v>10</v>
      </c>
      <c r="C41">
        <v>27</v>
      </c>
    </row>
    <row r="43" spans="1:3" ht="17.149999999999999" customHeight="1" x14ac:dyDescent="0.3">
      <c r="A43" s="8" t="s">
        <v>123</v>
      </c>
      <c r="B43">
        <v>15</v>
      </c>
      <c r="C43">
        <v>28</v>
      </c>
    </row>
    <row r="45" spans="1:3" ht="17.149999999999999" customHeight="1" x14ac:dyDescent="0.3">
      <c r="A45" s="8" t="s">
        <v>162</v>
      </c>
      <c r="B45">
        <v>14</v>
      </c>
      <c r="C45">
        <v>32</v>
      </c>
    </row>
    <row r="47" spans="1:3" ht="17.149999999999999" customHeight="1" x14ac:dyDescent="0.3">
      <c r="A47" t="s">
        <v>122</v>
      </c>
      <c r="B47">
        <v>7</v>
      </c>
      <c r="C47">
        <v>28</v>
      </c>
    </row>
    <row r="49" spans="1:3" ht="17.149999999999999" customHeight="1" x14ac:dyDescent="0.3">
      <c r="A49" t="s">
        <v>124</v>
      </c>
      <c r="B49">
        <v>30</v>
      </c>
      <c r="C49">
        <v>25</v>
      </c>
    </row>
    <row r="51" spans="1:3" ht="17.149999999999999" customHeight="1" x14ac:dyDescent="0.3">
      <c r="A51" t="s">
        <v>125</v>
      </c>
      <c r="B51">
        <v>12</v>
      </c>
      <c r="C51">
        <v>28</v>
      </c>
    </row>
    <row r="53" spans="1:3" ht="17.149999999999999" customHeight="1" x14ac:dyDescent="0.3">
      <c r="A53" s="8" t="s">
        <v>163</v>
      </c>
      <c r="B53">
        <v>13</v>
      </c>
      <c r="C53">
        <v>35</v>
      </c>
    </row>
    <row r="55" spans="1:3" ht="17.149999999999999" customHeight="1" x14ac:dyDescent="0.3">
      <c r="A55" t="s">
        <v>126</v>
      </c>
      <c r="B55">
        <v>13</v>
      </c>
      <c r="C55">
        <v>25</v>
      </c>
    </row>
    <row r="57" spans="1:3" ht="17.149999999999999" customHeight="1" x14ac:dyDescent="0.3">
      <c r="A57" s="8" t="s">
        <v>165</v>
      </c>
      <c r="B57">
        <v>13</v>
      </c>
      <c r="C57">
        <v>22</v>
      </c>
    </row>
    <row r="59" spans="1:3" ht="17.149999999999999" customHeight="1" x14ac:dyDescent="0.3">
      <c r="A59" s="8" t="s">
        <v>127</v>
      </c>
      <c r="B59">
        <v>13</v>
      </c>
      <c r="C59">
        <v>41</v>
      </c>
    </row>
    <row r="61" spans="1:3" ht="17.149999999999999" customHeight="1" x14ac:dyDescent="0.3">
      <c r="A61" t="s">
        <v>128</v>
      </c>
      <c r="B61">
        <v>7</v>
      </c>
      <c r="C61">
        <v>28</v>
      </c>
    </row>
    <row r="63" spans="1:3" ht="17.149999999999999" customHeight="1" x14ac:dyDescent="0.3">
      <c r="A63" t="s">
        <v>129</v>
      </c>
      <c r="B63">
        <v>61</v>
      </c>
      <c r="C63">
        <v>18</v>
      </c>
    </row>
    <row r="65" spans="1:3" ht="17.149999999999999" customHeight="1" x14ac:dyDescent="0.3">
      <c r="A65" t="s">
        <v>130</v>
      </c>
      <c r="B65">
        <v>54</v>
      </c>
      <c r="C65">
        <v>18</v>
      </c>
    </row>
    <row r="67" spans="1:3" ht="17.149999999999999" customHeight="1" x14ac:dyDescent="0.3">
      <c r="A67" t="s">
        <v>131</v>
      </c>
      <c r="B67">
        <v>48</v>
      </c>
      <c r="C67">
        <v>18</v>
      </c>
    </row>
    <row r="69" spans="1:3" ht="17.149999999999999" customHeight="1" x14ac:dyDescent="0.3">
      <c r="A69" t="s">
        <v>132</v>
      </c>
      <c r="B69">
        <v>46</v>
      </c>
      <c r="C69">
        <v>18</v>
      </c>
    </row>
    <row r="71" spans="1:3" ht="17.149999999999999" customHeight="1" x14ac:dyDescent="0.3">
      <c r="A71" t="s">
        <v>133</v>
      </c>
      <c r="B71">
        <v>85</v>
      </c>
      <c r="C71">
        <v>18</v>
      </c>
    </row>
    <row r="73" spans="1:3" ht="17.149999999999999" customHeight="1" x14ac:dyDescent="0.3">
      <c r="A73" t="s">
        <v>134</v>
      </c>
      <c r="B73">
        <v>42</v>
      </c>
      <c r="C73">
        <v>18</v>
      </c>
    </row>
    <row r="75" spans="1:3" ht="17.149999999999999" customHeight="1" x14ac:dyDescent="0.3">
      <c r="A75" t="s">
        <v>135</v>
      </c>
      <c r="B75">
        <v>37</v>
      </c>
      <c r="C75">
        <v>18</v>
      </c>
    </row>
    <row r="77" spans="1:3" ht="17.149999999999999" customHeight="1" x14ac:dyDescent="0.3">
      <c r="A77" t="s">
        <v>136</v>
      </c>
      <c r="B77">
        <v>33</v>
      </c>
      <c r="C77">
        <v>18</v>
      </c>
    </row>
    <row r="79" spans="1:3" ht="17.149999999999999" customHeight="1" x14ac:dyDescent="0.3">
      <c r="A79" t="s">
        <v>137</v>
      </c>
      <c r="B79">
        <v>32</v>
      </c>
      <c r="C79">
        <v>20</v>
      </c>
    </row>
    <row r="81" spans="1:3" ht="17.149999999999999" customHeight="1" x14ac:dyDescent="0.3">
      <c r="A81" t="s">
        <v>138</v>
      </c>
      <c r="B81">
        <v>73</v>
      </c>
      <c r="C81">
        <v>18</v>
      </c>
    </row>
    <row r="83" spans="1:3" ht="17.149999999999999" customHeight="1" x14ac:dyDescent="0.3">
      <c r="A83" t="s">
        <v>139</v>
      </c>
      <c r="B83">
        <v>43</v>
      </c>
      <c r="C83">
        <v>18</v>
      </c>
    </row>
    <row r="85" spans="1:3" ht="17.149999999999999" customHeight="1" x14ac:dyDescent="0.3">
      <c r="A85" t="s">
        <v>140</v>
      </c>
      <c r="B85">
        <v>38</v>
      </c>
      <c r="C85">
        <v>18</v>
      </c>
    </row>
    <row r="87" spans="1:3" ht="17.149999999999999" customHeight="1" x14ac:dyDescent="0.3">
      <c r="A87" t="s">
        <v>141</v>
      </c>
      <c r="B87">
        <v>34</v>
      </c>
      <c r="C87">
        <v>18</v>
      </c>
    </row>
    <row r="89" spans="1:3" ht="17.149999999999999" customHeight="1" x14ac:dyDescent="0.3">
      <c r="A89" t="s">
        <v>142</v>
      </c>
      <c r="B89">
        <v>33</v>
      </c>
      <c r="C89">
        <v>18</v>
      </c>
    </row>
    <row r="91" spans="1:3" ht="17.149999999999999" customHeight="1" x14ac:dyDescent="0.3">
      <c r="A91" t="s">
        <v>143</v>
      </c>
      <c r="B91">
        <v>78</v>
      </c>
      <c r="C91">
        <v>18</v>
      </c>
    </row>
    <row r="93" spans="1:3" ht="17.149999999999999" customHeight="1" x14ac:dyDescent="0.3">
      <c r="A93" t="s">
        <v>144</v>
      </c>
      <c r="B93">
        <v>51</v>
      </c>
      <c r="C93">
        <v>18</v>
      </c>
    </row>
    <row r="95" spans="1:3" ht="17.149999999999999" customHeight="1" x14ac:dyDescent="0.3">
      <c r="A95" t="s">
        <v>145</v>
      </c>
      <c r="B95">
        <v>45</v>
      </c>
      <c r="C95">
        <v>18</v>
      </c>
    </row>
    <row r="97" spans="1:3" ht="17.149999999999999" customHeight="1" x14ac:dyDescent="0.3">
      <c r="A97" t="s">
        <v>146</v>
      </c>
      <c r="B97">
        <v>45</v>
      </c>
      <c r="C97">
        <v>18</v>
      </c>
    </row>
    <row r="99" spans="1:3" ht="17.149999999999999" customHeight="1" x14ac:dyDescent="0.3">
      <c r="A99" t="s">
        <v>147</v>
      </c>
      <c r="B99">
        <v>42</v>
      </c>
      <c r="C99">
        <v>18</v>
      </c>
    </row>
    <row r="101" spans="1:3" ht="17.149999999999999" customHeight="1" x14ac:dyDescent="0.3">
      <c r="A101" t="s">
        <v>148</v>
      </c>
      <c r="B101">
        <v>88</v>
      </c>
      <c r="C101">
        <v>18</v>
      </c>
    </row>
    <row r="103" spans="1:3" ht="17.149999999999999" customHeight="1" x14ac:dyDescent="0.3">
      <c r="A103" s="8" t="s">
        <v>159</v>
      </c>
      <c r="B103">
        <v>33</v>
      </c>
      <c r="C103">
        <v>20</v>
      </c>
    </row>
    <row r="105" spans="1:3" ht="17.149999999999999" customHeight="1" x14ac:dyDescent="0.3">
      <c r="A105" s="8" t="s">
        <v>161</v>
      </c>
      <c r="B105">
        <v>33</v>
      </c>
      <c r="C105">
        <v>15</v>
      </c>
    </row>
    <row r="107" spans="1:3" ht="17.149999999999999" customHeight="1" x14ac:dyDescent="0.3">
      <c r="A107" t="s">
        <v>168</v>
      </c>
      <c r="B107">
        <v>33</v>
      </c>
      <c r="C107">
        <v>28</v>
      </c>
    </row>
    <row r="109" spans="1:3" ht="17.149999999999999" customHeight="1" x14ac:dyDescent="0.3">
      <c r="A109" t="s">
        <v>167</v>
      </c>
      <c r="B109">
        <v>33</v>
      </c>
      <c r="C109">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7"/>
  <sheetViews>
    <sheetView zoomScaleNormal="100" zoomScaleSheetLayoutView="100" workbookViewId="0">
      <selection activeCell="B29" sqref="B29"/>
    </sheetView>
  </sheetViews>
  <sheetFormatPr defaultColWidth="8.796875" defaultRowHeight="13" x14ac:dyDescent="0.3"/>
  <cols>
    <col min="1" max="1" width="40.796875" customWidth="1"/>
    <col min="2" max="2" width="45.19921875" customWidth="1"/>
    <col min="3" max="3" width="28.796875" bestFit="1" customWidth="1"/>
  </cols>
  <sheetData>
    <row r="1" spans="1:3" ht="27" customHeight="1" x14ac:dyDescent="0.3">
      <c r="A1" s="106" t="s">
        <v>32</v>
      </c>
      <c r="B1" s="107"/>
      <c r="C1" s="108"/>
    </row>
    <row r="2" spans="1:3" x14ac:dyDescent="0.3">
      <c r="A2" s="7"/>
      <c r="B2" s="8"/>
      <c r="C2" s="9"/>
    </row>
    <row r="3" spans="1:3" ht="31.5" customHeight="1" x14ac:dyDescent="0.3">
      <c r="A3" s="10" t="s">
        <v>6</v>
      </c>
      <c r="B3" s="11" t="s">
        <v>7</v>
      </c>
      <c r="C3" s="12" t="s">
        <v>8</v>
      </c>
    </row>
    <row r="4" spans="1:3" ht="20.25" customHeight="1" x14ac:dyDescent="0.3">
      <c r="A4" s="13" t="s">
        <v>4</v>
      </c>
      <c r="B4" s="14" t="s">
        <v>9</v>
      </c>
      <c r="C4" s="15" t="s">
        <v>10</v>
      </c>
    </row>
    <row r="5" spans="1:3" ht="20.25" customHeight="1" x14ac:dyDescent="0.3">
      <c r="A5" s="13" t="s">
        <v>2</v>
      </c>
      <c r="B5" s="14" t="s">
        <v>11</v>
      </c>
      <c r="C5" s="15" t="s">
        <v>12</v>
      </c>
    </row>
    <row r="6" spans="1:3" ht="20.25" customHeight="1" x14ac:dyDescent="0.3">
      <c r="A6" s="13" t="s">
        <v>3</v>
      </c>
      <c r="B6" s="14" t="s">
        <v>13</v>
      </c>
      <c r="C6" s="15" t="s">
        <v>13</v>
      </c>
    </row>
    <row r="7" spans="1:3" ht="20.25" customHeight="1" x14ac:dyDescent="0.3">
      <c r="A7" s="13" t="s">
        <v>5</v>
      </c>
      <c r="B7" s="14" t="s">
        <v>31</v>
      </c>
      <c r="C7" s="15" t="s">
        <v>31</v>
      </c>
    </row>
    <row r="8" spans="1:3" ht="35.5" customHeight="1" x14ac:dyDescent="0.3">
      <c r="A8" s="7"/>
      <c r="B8" s="8"/>
      <c r="C8" s="9"/>
    </row>
    <row r="9" spans="1:3" ht="21.75" customHeight="1" x14ac:dyDescent="0.3">
      <c r="A9" s="109" t="s">
        <v>14</v>
      </c>
      <c r="B9" s="110"/>
      <c r="C9" s="111"/>
    </row>
    <row r="10" spans="1:3" ht="15" customHeight="1" x14ac:dyDescent="0.3">
      <c r="A10" s="112" t="s">
        <v>15</v>
      </c>
      <c r="B10" s="113"/>
      <c r="C10" s="114"/>
    </row>
    <row r="11" spans="1:3" s="5" customFormat="1" ht="28.5" customHeight="1" x14ac:dyDescent="0.3">
      <c r="A11" s="115" t="s">
        <v>16</v>
      </c>
      <c r="B11" s="116"/>
      <c r="C11" s="117"/>
    </row>
    <row r="12" spans="1:3" s="5" customFormat="1" ht="15" customHeight="1" x14ac:dyDescent="0.3">
      <c r="A12" s="7" t="s">
        <v>17</v>
      </c>
      <c r="B12" s="8"/>
      <c r="C12" s="9"/>
    </row>
    <row r="13" spans="1:3" s="6" customFormat="1" x14ac:dyDescent="0.3">
      <c r="A13" s="115" t="s">
        <v>18</v>
      </c>
      <c r="B13" s="116"/>
      <c r="C13" s="117"/>
    </row>
    <row r="14" spans="1:3" s="5" customFormat="1" ht="15" customHeight="1" x14ac:dyDescent="0.3">
      <c r="A14" s="103" t="s">
        <v>19</v>
      </c>
      <c r="B14" s="104"/>
      <c r="C14" s="105"/>
    </row>
    <row r="15" spans="1:3" s="5" customFormat="1" ht="15" customHeight="1" x14ac:dyDescent="0.3">
      <c r="A15" s="103" t="s">
        <v>20</v>
      </c>
      <c r="B15" s="104"/>
      <c r="C15" s="105"/>
    </row>
    <row r="16" spans="1:3" s="5" customFormat="1" ht="15" customHeight="1" x14ac:dyDescent="0.3">
      <c r="A16" s="7" t="s">
        <v>21</v>
      </c>
      <c r="B16" s="8"/>
      <c r="C16" s="9"/>
    </row>
    <row r="17" spans="1:3" s="5" customFormat="1" ht="15" customHeight="1" x14ac:dyDescent="0.3">
      <c r="A17" s="118"/>
      <c r="B17" s="119"/>
      <c r="C17" s="120"/>
    </row>
    <row r="18" spans="1:3" s="5" customFormat="1" ht="15" customHeight="1" x14ac:dyDescent="0.3">
      <c r="A18" s="121" t="s">
        <v>22</v>
      </c>
      <c r="B18" s="122"/>
      <c r="C18" s="123"/>
    </row>
    <row r="19" spans="1:3" s="5" customFormat="1" ht="15" customHeight="1" x14ac:dyDescent="0.3">
      <c r="A19" s="16" t="s">
        <v>23</v>
      </c>
      <c r="B19" s="17"/>
      <c r="C19" s="18"/>
    </row>
    <row r="20" spans="1:3" s="5" customFormat="1" ht="15" customHeight="1" x14ac:dyDescent="0.3">
      <c r="A20" s="16" t="s">
        <v>24</v>
      </c>
      <c r="B20" s="17"/>
      <c r="C20" s="18"/>
    </row>
    <row r="21" spans="1:3" s="5" customFormat="1" ht="15" customHeight="1" x14ac:dyDescent="0.3">
      <c r="A21" s="16" t="s">
        <v>25</v>
      </c>
      <c r="B21" s="17"/>
      <c r="C21" s="18"/>
    </row>
    <row r="22" spans="1:3" s="5" customFormat="1" ht="15" customHeight="1" x14ac:dyDescent="0.3">
      <c r="A22" s="16" t="s">
        <v>26</v>
      </c>
      <c r="B22" s="17"/>
      <c r="C22" s="18"/>
    </row>
    <row r="23" spans="1:3" s="5" customFormat="1" ht="15" customHeight="1" x14ac:dyDescent="0.3">
      <c r="A23" s="118"/>
      <c r="B23" s="119"/>
      <c r="C23" s="120"/>
    </row>
    <row r="24" spans="1:3" s="5" customFormat="1" ht="15" customHeight="1" x14ac:dyDescent="0.3">
      <c r="A24" s="124" t="s">
        <v>27</v>
      </c>
      <c r="B24" s="125"/>
      <c r="C24" s="126"/>
    </row>
    <row r="25" spans="1:3" s="5" customFormat="1" ht="15" customHeight="1" x14ac:dyDescent="0.3">
      <c r="A25" s="103" t="s">
        <v>28</v>
      </c>
      <c r="B25" s="104"/>
      <c r="C25" s="105"/>
    </row>
    <row r="26" spans="1:3" s="5" customFormat="1" ht="15" customHeight="1" x14ac:dyDescent="0.3">
      <c r="A26" s="103" t="s">
        <v>29</v>
      </c>
      <c r="B26" s="104"/>
      <c r="C26" s="105"/>
    </row>
    <row r="27" spans="1:3" s="5" customFormat="1" ht="15" customHeight="1" x14ac:dyDescent="0.3">
      <c r="A27" s="103" t="s">
        <v>30</v>
      </c>
      <c r="B27" s="104"/>
      <c r="C27" s="105"/>
    </row>
  </sheetData>
  <mergeCells count="14">
    <mergeCell ref="A26:C26"/>
    <mergeCell ref="A27:C27"/>
    <mergeCell ref="A25:C25"/>
    <mergeCell ref="A1:C1"/>
    <mergeCell ref="A9:C9"/>
    <mergeCell ref="A10:C10"/>
    <mergeCell ref="A11:C11"/>
    <mergeCell ref="A13:C13"/>
    <mergeCell ref="A14:C14"/>
    <mergeCell ref="A15:C15"/>
    <mergeCell ref="A17:C17"/>
    <mergeCell ref="A18:C18"/>
    <mergeCell ref="A23:C23"/>
    <mergeCell ref="A24:C24"/>
  </mergeCells>
  <pageMargins left="0.39370078740157483" right="0.39370078740157483" top="0.39370078740157483" bottom="0.39370078740157483" header="0" footer="0"/>
  <pageSetup paperSize="9" scale="9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Table 2</vt:lpstr>
      <vt:lpstr>Sheet1</vt:lpstr>
      <vt:lpstr>Table 3</vt:lpstr>
      <vt:lpstr>'Table 2'!Print_Area</vt:lpstr>
      <vt:lpstr>'Table 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FT1539 Itinerary - Ms Himani Doshi</dc:title>
  <dc:creator>admin</dc:creator>
  <cp:lastModifiedBy>HP</cp:lastModifiedBy>
  <cp:lastPrinted>2024-01-10T11:26:35Z</cp:lastPrinted>
  <dcterms:created xsi:type="dcterms:W3CDTF">2023-06-28T07:54:50Z</dcterms:created>
  <dcterms:modified xsi:type="dcterms:W3CDTF">2025-05-08T07:54:21Z</dcterms:modified>
</cp:coreProperties>
</file>