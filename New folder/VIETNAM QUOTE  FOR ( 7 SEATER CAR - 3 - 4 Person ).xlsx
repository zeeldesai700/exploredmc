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D:\XAMPP\htdocs\chirag\"/>
    </mc:Choice>
  </mc:AlternateContent>
  <xr:revisionPtr revIDLastSave="0" documentId="13_ncr:1_{8CD4A462-FBA0-4D1A-9E03-774B55282903}" xr6:coauthVersionLast="47" xr6:coauthVersionMax="47" xr10:uidLastSave="{00000000-0000-0000-0000-000000000000}"/>
  <bookViews>
    <workbookView xWindow="-120" yWindow="-120" windowWidth="29040" windowHeight="15840" xr2:uid="{00000000-000D-0000-FFFF-FFFF00000000}"/>
  </bookViews>
  <sheets>
    <sheet name="Table 2" sheetId="1" r:id="rId1"/>
    <sheet name="Sheet2" sheetId="2" r:id="rId2"/>
    <sheet name="Sheet4" sheetId="3" r:id="rId3"/>
    <sheet name="Sheet1" sheetId="4" r:id="rId4"/>
    <sheet name="Sheet3" sheetId="5" r:id="rId5"/>
    <sheet name="Table 3" sheetId="6" state="hidden" r:id="rId6"/>
    <sheet name="Table 3 (2)" sheetId="7" r:id="rId7"/>
  </sheets>
  <externalReferences>
    <externalReference r:id="rId8"/>
  </externalReferences>
  <calcPr calcId="181029"/>
  <extLst>
    <ext uri="GoogleSheetsCustomDataVersion2">
      <go:sheetsCustomData xmlns:go="http://customooxmlschemas.google.com/" r:id="rId12" roundtripDataChecksum="C1Zo2iutQ0Z+qJlNl44Deu+2AAwKwxTKC9FsQTRI17A="/>
    </ext>
  </extLst>
</workbook>
</file>

<file path=xl/calcChain.xml><?xml version="1.0" encoding="utf-8"?>
<calcChain xmlns="http://schemas.openxmlformats.org/spreadsheetml/2006/main">
  <c r="G9" i="1" l="1"/>
  <c r="H9" i="1" s="1"/>
  <c r="I9" i="1" s="1"/>
  <c r="D298" i="3" l="1"/>
  <c r="E298" i="3" s="1"/>
  <c r="N131" i="3" s="1"/>
  <c r="D297" i="3"/>
  <c r="E297" i="3" s="1"/>
  <c r="D296" i="3"/>
  <c r="E296" i="3" s="1"/>
  <c r="E295" i="3"/>
  <c r="D295" i="3"/>
  <c r="D294" i="3"/>
  <c r="E294" i="3" s="1"/>
  <c r="G166" i="3" s="1"/>
  <c r="D293" i="3"/>
  <c r="E293" i="3" s="1"/>
  <c r="G165" i="3" s="1"/>
  <c r="D292" i="3"/>
  <c r="E292" i="3" s="1"/>
  <c r="G164" i="3" s="1"/>
  <c r="E291" i="3"/>
  <c r="G163" i="3" s="1"/>
  <c r="D291" i="3"/>
  <c r="D290" i="3"/>
  <c r="E290" i="3" s="1"/>
  <c r="G162" i="3" s="1"/>
  <c r="D289" i="3"/>
  <c r="E289" i="3" s="1"/>
  <c r="G161" i="3" s="1"/>
  <c r="D288" i="3"/>
  <c r="E288" i="3" s="1"/>
  <c r="G160" i="3" s="1"/>
  <c r="D287" i="3"/>
  <c r="E287" i="3" s="1"/>
  <c r="G159" i="3" s="1"/>
  <c r="D286" i="3"/>
  <c r="E286" i="3" s="1"/>
  <c r="G158" i="3" s="1"/>
  <c r="D285" i="3"/>
  <c r="E285" i="3" s="1"/>
  <c r="G157" i="3" s="1"/>
  <c r="D284" i="3"/>
  <c r="E284" i="3" s="1"/>
  <c r="G156" i="3" s="1"/>
  <c r="D283" i="3"/>
  <c r="E283" i="3" s="1"/>
  <c r="G155" i="3" s="1"/>
  <c r="D282" i="3"/>
  <c r="E282" i="3" s="1"/>
  <c r="D281" i="3"/>
  <c r="E281" i="3" s="1"/>
  <c r="D280" i="3"/>
  <c r="E280" i="3" s="1"/>
  <c r="D279" i="3"/>
  <c r="E279" i="3" s="1"/>
  <c r="D278" i="3"/>
  <c r="E278" i="3" s="1"/>
  <c r="D277" i="3"/>
  <c r="E277" i="3" s="1"/>
  <c r="D276" i="3"/>
  <c r="E276" i="3" s="1"/>
  <c r="D275" i="3"/>
  <c r="E275" i="3" s="1"/>
  <c r="D274" i="3"/>
  <c r="E274" i="3" s="1"/>
  <c r="K161" i="3" s="1"/>
  <c r="D273" i="3"/>
  <c r="E273" i="3" s="1"/>
  <c r="K160" i="3" s="1"/>
  <c r="D272" i="3"/>
  <c r="E272" i="3" s="1"/>
  <c r="K159" i="3" s="1"/>
  <c r="D271" i="3"/>
  <c r="E271" i="3" s="1"/>
  <c r="K158" i="3" s="1"/>
  <c r="D270" i="3"/>
  <c r="E270" i="3" s="1"/>
  <c r="K157" i="3" s="1"/>
  <c r="D269" i="3"/>
  <c r="E269" i="3" s="1"/>
  <c r="K156" i="3" s="1"/>
  <c r="D268" i="3"/>
  <c r="E268" i="3" s="1"/>
  <c r="K155" i="3" s="1"/>
  <c r="D267" i="3"/>
  <c r="E267" i="3" s="1"/>
  <c r="K154" i="3" s="1"/>
  <c r="D266" i="3"/>
  <c r="E266" i="3" s="1"/>
  <c r="D265" i="3"/>
  <c r="E265" i="3" s="1"/>
  <c r="D264" i="3"/>
  <c r="E264" i="3" s="1"/>
  <c r="E263" i="3"/>
  <c r="K150" i="3" s="1"/>
  <c r="D263" i="3"/>
  <c r="D262" i="3"/>
  <c r="E262" i="3" s="1"/>
  <c r="K149" i="3" s="1"/>
  <c r="D261" i="3"/>
  <c r="E261" i="3" s="1"/>
  <c r="K148" i="3" s="1"/>
  <c r="D260" i="3"/>
  <c r="E260" i="3" s="1"/>
  <c r="K147" i="3" s="1"/>
  <c r="D259" i="3"/>
  <c r="E259" i="3" s="1"/>
  <c r="K146" i="3" s="1"/>
  <c r="D258" i="3"/>
  <c r="E258" i="3" s="1"/>
  <c r="K145" i="3" s="1"/>
  <c r="D257" i="3"/>
  <c r="E257" i="3" s="1"/>
  <c r="K144" i="3" s="1"/>
  <c r="D256" i="3"/>
  <c r="E256" i="3" s="1"/>
  <c r="K143" i="3" s="1"/>
  <c r="D255" i="3"/>
  <c r="E255" i="3" s="1"/>
  <c r="K142" i="3" s="1"/>
  <c r="D254" i="3"/>
  <c r="E254" i="3" s="1"/>
  <c r="K141" i="3" s="1"/>
  <c r="D253" i="3"/>
  <c r="E253" i="3" s="1"/>
  <c r="D252" i="3"/>
  <c r="E252" i="3" s="1"/>
  <c r="D251" i="3"/>
  <c r="E251" i="3" s="1"/>
  <c r="D250" i="3"/>
  <c r="E250" i="3" s="1"/>
  <c r="D249" i="3"/>
  <c r="E249" i="3" s="1"/>
  <c r="G151" i="3" s="1"/>
  <c r="D248" i="3"/>
  <c r="E248" i="3" s="1"/>
  <c r="G150" i="3" s="1"/>
  <c r="D247" i="3"/>
  <c r="E247" i="3" s="1"/>
  <c r="G149" i="3" s="1"/>
  <c r="D246" i="3"/>
  <c r="E246" i="3" s="1"/>
  <c r="G148" i="3" s="1"/>
  <c r="D245" i="3"/>
  <c r="E245" i="3" s="1"/>
  <c r="G147" i="3" s="1"/>
  <c r="D244" i="3"/>
  <c r="E244" i="3" s="1"/>
  <c r="D243" i="3"/>
  <c r="E243" i="3" s="1"/>
  <c r="G145" i="3" s="1"/>
  <c r="D242" i="3"/>
  <c r="E242" i="3" s="1"/>
  <c r="G144" i="3" s="1"/>
  <c r="D241" i="3"/>
  <c r="E241" i="3" s="1"/>
  <c r="G143" i="3" s="1"/>
  <c r="D240" i="3"/>
  <c r="E240" i="3" s="1"/>
  <c r="G142" i="3" s="1"/>
  <c r="E239" i="3"/>
  <c r="D239" i="3"/>
  <c r="D238" i="3"/>
  <c r="E238" i="3" s="1"/>
  <c r="D237" i="3"/>
  <c r="E237" i="3" s="1"/>
  <c r="D236" i="3"/>
  <c r="E236" i="3" s="1"/>
  <c r="E235" i="3"/>
  <c r="N125" i="3" s="1"/>
  <c r="D235" i="3"/>
  <c r="D234" i="3"/>
  <c r="E234" i="3" s="1"/>
  <c r="N124" i="3" s="1"/>
  <c r="D233" i="3"/>
  <c r="E233" i="3" s="1"/>
  <c r="N123" i="3" s="1"/>
  <c r="D232" i="3"/>
  <c r="E232" i="3" s="1"/>
  <c r="D231" i="3"/>
  <c r="E231" i="3" s="1"/>
  <c r="D230" i="3"/>
  <c r="E230" i="3" s="1"/>
  <c r="D229" i="3"/>
  <c r="E229" i="3" s="1"/>
  <c r="N119" i="3" s="1"/>
  <c r="D228" i="3"/>
  <c r="E228" i="3" s="1"/>
  <c r="N118" i="3" s="1"/>
  <c r="D227" i="3"/>
  <c r="E227" i="3" s="1"/>
  <c r="D226" i="3"/>
  <c r="E226" i="3" s="1"/>
  <c r="D225" i="3"/>
  <c r="E225" i="3" s="1"/>
  <c r="D224" i="3"/>
  <c r="E224" i="3" s="1"/>
  <c r="K136" i="3" s="1"/>
  <c r="D223" i="3"/>
  <c r="E223" i="3" s="1"/>
  <c r="K135" i="3" s="1"/>
  <c r="D222" i="3"/>
  <c r="E222" i="3" s="1"/>
  <c r="K134" i="3" s="1"/>
  <c r="D221" i="3"/>
  <c r="E221" i="3" s="1"/>
  <c r="K133" i="3" s="1"/>
  <c r="D220" i="3"/>
  <c r="E220" i="3" s="1"/>
  <c r="D219" i="3"/>
  <c r="E219" i="3" s="1"/>
  <c r="K131" i="3" s="1"/>
  <c r="D218" i="3"/>
  <c r="E218" i="3" s="1"/>
  <c r="K130" i="3" s="1"/>
  <c r="D217" i="3"/>
  <c r="E217" i="3" s="1"/>
  <c r="K129" i="3" s="1"/>
  <c r="D216" i="3"/>
  <c r="E216" i="3" s="1"/>
  <c r="K128" i="3" s="1"/>
  <c r="D215" i="3"/>
  <c r="E215" i="3" s="1"/>
  <c r="K127" i="3" s="1"/>
  <c r="D214" i="3"/>
  <c r="E214" i="3" s="1"/>
  <c r="K126" i="3" s="1"/>
  <c r="D213" i="3"/>
  <c r="E213" i="3" s="1"/>
  <c r="K125" i="3" s="1"/>
  <c r="D212" i="3"/>
  <c r="E212" i="3" s="1"/>
  <c r="D211" i="3"/>
  <c r="E211" i="3" s="1"/>
  <c r="G137" i="3" s="1"/>
  <c r="D210" i="3"/>
  <c r="E210" i="3" s="1"/>
  <c r="G136" i="3" s="1"/>
  <c r="D209" i="3"/>
  <c r="E209" i="3" s="1"/>
  <c r="G135" i="3" s="1"/>
  <c r="D208" i="3"/>
  <c r="E208" i="3" s="1"/>
  <c r="G134" i="3" s="1"/>
  <c r="E207" i="3"/>
  <c r="G133" i="3" s="1"/>
  <c r="D207" i="3"/>
  <c r="D206" i="3"/>
  <c r="E206" i="3" s="1"/>
  <c r="G132" i="3" s="1"/>
  <c r="D205" i="3"/>
  <c r="E205" i="3" s="1"/>
  <c r="G131" i="3" s="1"/>
  <c r="D204" i="3"/>
  <c r="E204" i="3" s="1"/>
  <c r="G130" i="3" s="1"/>
  <c r="E203" i="3"/>
  <c r="G129" i="3" s="1"/>
  <c r="D203" i="3"/>
  <c r="D202" i="3"/>
  <c r="E202" i="3" s="1"/>
  <c r="G128" i="3" s="1"/>
  <c r="D201" i="3"/>
  <c r="E201" i="3" s="1"/>
  <c r="D200" i="3"/>
  <c r="E200" i="3" s="1"/>
  <c r="D199" i="3"/>
  <c r="E199" i="3" s="1"/>
  <c r="D198" i="3"/>
  <c r="E198" i="3" s="1"/>
  <c r="D197" i="3"/>
  <c r="E197" i="3" s="1"/>
  <c r="N113" i="3" s="1"/>
  <c r="D196" i="3"/>
  <c r="E196" i="3" s="1"/>
  <c r="N112" i="3" s="1"/>
  <c r="D195" i="3"/>
  <c r="E195" i="3" s="1"/>
  <c r="N111" i="3" s="1"/>
  <c r="D194" i="3"/>
  <c r="E194" i="3" s="1"/>
  <c r="N110" i="3" s="1"/>
  <c r="D193" i="3"/>
  <c r="E193" i="3" s="1"/>
  <c r="N109" i="3" s="1"/>
  <c r="D192" i="3"/>
  <c r="E192" i="3" s="1"/>
  <c r="N108" i="3" s="1"/>
  <c r="D191" i="3"/>
  <c r="E191" i="3" s="1"/>
  <c r="N107" i="3" s="1"/>
  <c r="D190" i="3"/>
  <c r="E190" i="3" s="1"/>
  <c r="D189" i="3"/>
  <c r="E189" i="3" s="1"/>
  <c r="D188" i="3"/>
  <c r="E188" i="3" s="1"/>
  <c r="D187" i="3"/>
  <c r="E187" i="3" s="1"/>
  <c r="D186" i="3"/>
  <c r="E186" i="3" s="1"/>
  <c r="K121" i="3" s="1"/>
  <c r="D185" i="3"/>
  <c r="E185" i="3" s="1"/>
  <c r="K120" i="3" s="1"/>
  <c r="D184" i="3"/>
  <c r="E184" i="3" s="1"/>
  <c r="K119" i="3" s="1"/>
  <c r="D183" i="3"/>
  <c r="E183" i="3" s="1"/>
  <c r="K118" i="3" s="1"/>
  <c r="D182" i="3"/>
  <c r="E182" i="3" s="1"/>
  <c r="K117" i="3" s="1"/>
  <c r="D181" i="3"/>
  <c r="E181" i="3" s="1"/>
  <c r="K116" i="3" s="1"/>
  <c r="D180" i="3"/>
  <c r="E180" i="3" s="1"/>
  <c r="K115" i="3" s="1"/>
  <c r="D179" i="3"/>
  <c r="E179" i="3" s="1"/>
  <c r="K114" i="3" s="1"/>
  <c r="D178" i="3"/>
  <c r="E178" i="3" s="1"/>
  <c r="K113" i="3" s="1"/>
  <c r="D177" i="3"/>
  <c r="E177" i="3" s="1"/>
  <c r="K112" i="3" s="1"/>
  <c r="D176" i="3"/>
  <c r="E176" i="3" s="1"/>
  <c r="D175" i="3"/>
  <c r="E175" i="3" s="1"/>
  <c r="D174" i="3"/>
  <c r="E174" i="3" s="1"/>
  <c r="G124" i="3" s="1"/>
  <c r="D173" i="3"/>
  <c r="E173" i="3" s="1"/>
  <c r="G123" i="3" s="1"/>
  <c r="D172" i="3"/>
  <c r="E172" i="3" s="1"/>
  <c r="G122" i="3" s="1"/>
  <c r="E171" i="3"/>
  <c r="G121" i="3" s="1"/>
  <c r="D171" i="3"/>
  <c r="D170" i="3"/>
  <c r="E170" i="3" s="1"/>
  <c r="G120" i="3" s="1"/>
  <c r="D169" i="3"/>
  <c r="E169" i="3" s="1"/>
  <c r="G119" i="3" s="1"/>
  <c r="D168" i="3"/>
  <c r="E168" i="3" s="1"/>
  <c r="G118" i="3" s="1"/>
  <c r="D167" i="3"/>
  <c r="E167" i="3" s="1"/>
  <c r="G117" i="3" s="1"/>
  <c r="D166" i="3"/>
  <c r="E166" i="3" s="1"/>
  <c r="G116" i="3" s="1"/>
  <c r="D165" i="3"/>
  <c r="E165" i="3" s="1"/>
  <c r="G115" i="3" s="1"/>
  <c r="D164" i="3"/>
  <c r="E164" i="3" s="1"/>
  <c r="G114" i="3" s="1"/>
  <c r="D163" i="3"/>
  <c r="E163" i="3" s="1"/>
  <c r="G113" i="3" s="1"/>
  <c r="D162" i="3"/>
  <c r="E162" i="3" s="1"/>
  <c r="D161" i="3"/>
  <c r="E161" i="3" s="1"/>
  <c r="D160" i="3"/>
  <c r="E160" i="3" s="1"/>
  <c r="D159" i="3"/>
  <c r="E159" i="3" s="1"/>
  <c r="N102" i="3" s="1"/>
  <c r="D158" i="3"/>
  <c r="E158" i="3" s="1"/>
  <c r="N101" i="3" s="1"/>
  <c r="D157" i="3"/>
  <c r="E157" i="3" s="1"/>
  <c r="N100" i="3" s="1"/>
  <c r="D156" i="3"/>
  <c r="E156" i="3" s="1"/>
  <c r="N99" i="3" s="1"/>
  <c r="D155" i="3"/>
  <c r="E155" i="3" s="1"/>
  <c r="N98" i="3" s="1"/>
  <c r="D154" i="3"/>
  <c r="E154" i="3" s="1"/>
  <c r="N97" i="3" s="1"/>
  <c r="E153" i="3"/>
  <c r="D153" i="3"/>
  <c r="D152" i="3"/>
  <c r="E152" i="3" s="1"/>
  <c r="D151" i="3"/>
  <c r="E151" i="3" s="1"/>
  <c r="D150" i="3"/>
  <c r="E150" i="3" s="1"/>
  <c r="K108" i="3" s="1"/>
  <c r="D149" i="3"/>
  <c r="E149" i="3" s="1"/>
  <c r="K107" i="3" s="1"/>
  <c r="D148" i="3"/>
  <c r="E148" i="3" s="1"/>
  <c r="K106" i="3" s="1"/>
  <c r="D147" i="3"/>
  <c r="E147" i="3" s="1"/>
  <c r="K105" i="3" s="1"/>
  <c r="G146" i="3"/>
  <c r="E146" i="3"/>
  <c r="K104" i="3" s="1"/>
  <c r="D146" i="3"/>
  <c r="D145" i="3"/>
  <c r="E145" i="3" s="1"/>
  <c r="K103" i="3" s="1"/>
  <c r="D144" i="3"/>
  <c r="E144" i="3" s="1"/>
  <c r="K102" i="3" s="1"/>
  <c r="D143" i="3"/>
  <c r="E143" i="3" s="1"/>
  <c r="K101" i="3" s="1"/>
  <c r="D142" i="3"/>
  <c r="E142" i="3" s="1"/>
  <c r="K100" i="3" s="1"/>
  <c r="D141" i="3"/>
  <c r="E141" i="3" s="1"/>
  <c r="K99" i="3" s="1"/>
  <c r="D140" i="3"/>
  <c r="E140" i="3" s="1"/>
  <c r="D139" i="3"/>
  <c r="E139" i="3" s="1"/>
  <c r="E138" i="3"/>
  <c r="G109" i="3" s="1"/>
  <c r="D138" i="3"/>
  <c r="D137" i="3"/>
  <c r="E137" i="3" s="1"/>
  <c r="G108" i="3" s="1"/>
  <c r="D136" i="3"/>
  <c r="E136" i="3" s="1"/>
  <c r="G107" i="3" s="1"/>
  <c r="D135" i="3"/>
  <c r="E135" i="3" s="1"/>
  <c r="G106" i="3" s="1"/>
  <c r="D134" i="3"/>
  <c r="E134" i="3" s="1"/>
  <c r="G105" i="3" s="1"/>
  <c r="D133" i="3"/>
  <c r="E133" i="3" s="1"/>
  <c r="G104" i="3" s="1"/>
  <c r="K132" i="3"/>
  <c r="D132" i="3"/>
  <c r="E132" i="3" s="1"/>
  <c r="G103" i="3" s="1"/>
  <c r="D131" i="3"/>
  <c r="E131" i="3" s="1"/>
  <c r="G102" i="3" s="1"/>
  <c r="N130" i="3"/>
  <c r="D130" i="3"/>
  <c r="E130" i="3" s="1"/>
  <c r="G101" i="3" s="1"/>
  <c r="D129" i="3"/>
  <c r="E129" i="3" s="1"/>
  <c r="G100" i="3" s="1"/>
  <c r="D128" i="3"/>
  <c r="E128" i="3" s="1"/>
  <c r="D127" i="3"/>
  <c r="E127" i="3" s="1"/>
  <c r="N126" i="3"/>
  <c r="D126" i="3"/>
  <c r="E126" i="3" s="1"/>
  <c r="D125" i="3"/>
  <c r="E125" i="3" s="1"/>
  <c r="G96" i="3" s="1"/>
  <c r="D124" i="3"/>
  <c r="E124" i="3" s="1"/>
  <c r="D123" i="3"/>
  <c r="E123" i="3" s="1"/>
  <c r="G94" i="3" s="1"/>
  <c r="E122" i="3"/>
  <c r="K92" i="3" s="1"/>
  <c r="D122" i="3"/>
  <c r="D121" i="3"/>
  <c r="E121" i="3" s="1"/>
  <c r="D120" i="3"/>
  <c r="E120" i="3" s="1"/>
  <c r="D119" i="3"/>
  <c r="E119" i="3" s="1"/>
  <c r="D118" i="3"/>
  <c r="E118" i="3" s="1"/>
  <c r="D117" i="3"/>
  <c r="E117" i="3" s="1"/>
  <c r="N85" i="3" s="1"/>
  <c r="D116" i="3"/>
  <c r="E116" i="3" s="1"/>
  <c r="D115" i="3"/>
  <c r="E115" i="3" s="1"/>
  <c r="G86" i="3" s="1"/>
  <c r="N114" i="3"/>
  <c r="D114" i="3"/>
  <c r="E114" i="3" s="1"/>
  <c r="G85" i="3" s="1"/>
  <c r="D113" i="3"/>
  <c r="E113" i="3" s="1"/>
  <c r="D112" i="3"/>
  <c r="E112" i="3" s="1"/>
  <c r="G83" i="3" s="1"/>
  <c r="D111" i="3"/>
  <c r="E111" i="3" s="1"/>
  <c r="D110" i="3"/>
  <c r="E110" i="3" s="1"/>
  <c r="E109" i="3"/>
  <c r="D109" i="3"/>
  <c r="D108" i="3"/>
  <c r="E108" i="3" s="1"/>
  <c r="G79" i="3" s="1"/>
  <c r="D107" i="3"/>
  <c r="E107" i="3" s="1"/>
  <c r="D106" i="3"/>
  <c r="E106" i="3" s="1"/>
  <c r="D105" i="3"/>
  <c r="E105" i="3" s="1"/>
  <c r="N73" i="3" s="1"/>
  <c r="D104" i="3"/>
  <c r="E104" i="3" s="1"/>
  <c r="G75" i="3" s="1"/>
  <c r="D103" i="3"/>
  <c r="E103" i="3" s="1"/>
  <c r="D102" i="3"/>
  <c r="E102" i="3" s="1"/>
  <c r="K72" i="3" s="1"/>
  <c r="D101" i="3"/>
  <c r="E101" i="3" s="1"/>
  <c r="E100" i="3"/>
  <c r="N68" i="3" s="1"/>
  <c r="D100" i="3"/>
  <c r="D99" i="3"/>
  <c r="E99" i="3" s="1"/>
  <c r="G70" i="3" s="1"/>
  <c r="D98" i="3"/>
  <c r="E98" i="3" s="1"/>
  <c r="D97" i="3"/>
  <c r="E97" i="3" s="1"/>
  <c r="K67" i="3" s="1"/>
  <c r="D96" i="3"/>
  <c r="E96" i="3" s="1"/>
  <c r="N64" i="3" s="1"/>
  <c r="G95" i="3"/>
  <c r="D95" i="3"/>
  <c r="E95" i="3" s="1"/>
  <c r="G66" i="3" s="1"/>
  <c r="D94" i="3"/>
  <c r="E94" i="3" s="1"/>
  <c r="K64" i="3" s="1"/>
  <c r="D93" i="3"/>
  <c r="E93" i="3" s="1"/>
  <c r="G64" i="3" s="1"/>
  <c r="D92" i="3"/>
  <c r="E92" i="3" s="1"/>
  <c r="D91" i="3"/>
  <c r="E91" i="3" s="1"/>
  <c r="G62" i="3" s="1"/>
  <c r="D90" i="3"/>
  <c r="E90" i="3" s="1"/>
  <c r="K60" i="3" s="1"/>
  <c r="D89" i="3"/>
  <c r="E89" i="3" s="1"/>
  <c r="K59" i="3" s="1"/>
  <c r="D88" i="3"/>
  <c r="E88" i="3" s="1"/>
  <c r="D87" i="3"/>
  <c r="E87" i="3" s="1"/>
  <c r="K57" i="3" s="1"/>
  <c r="D86" i="3"/>
  <c r="E86" i="3" s="1"/>
  <c r="N54" i="3" s="1"/>
  <c r="D85" i="3"/>
  <c r="E85" i="3" s="1"/>
  <c r="G56" i="3" s="1"/>
  <c r="D84" i="3"/>
  <c r="E84" i="3" s="1"/>
  <c r="N52" i="3" s="1"/>
  <c r="D83" i="3"/>
  <c r="E83" i="3" s="1"/>
  <c r="G54" i="3" s="1"/>
  <c r="D82" i="3"/>
  <c r="E82" i="3" s="1"/>
  <c r="D81" i="3"/>
  <c r="E81" i="3" s="1"/>
  <c r="K51" i="3" s="1"/>
  <c r="D80" i="3"/>
  <c r="E80" i="3" s="1"/>
  <c r="D79" i="3"/>
  <c r="E79" i="3" s="1"/>
  <c r="D78" i="3"/>
  <c r="E78" i="3" s="1"/>
  <c r="N46" i="3" s="1"/>
  <c r="D77" i="3"/>
  <c r="E77" i="3" s="1"/>
  <c r="G48" i="3" s="1"/>
  <c r="D76" i="3"/>
  <c r="E76" i="3" s="1"/>
  <c r="D75" i="3"/>
  <c r="E75" i="3" s="1"/>
  <c r="G46" i="3" s="1"/>
  <c r="D74" i="3"/>
  <c r="E74" i="3" s="1"/>
  <c r="D73" i="3"/>
  <c r="E73" i="3" s="1"/>
  <c r="K43" i="3" s="1"/>
  <c r="D72" i="3"/>
  <c r="E72" i="3" s="1"/>
  <c r="G43" i="3" s="1"/>
  <c r="D71" i="3"/>
  <c r="E71" i="3" s="1"/>
  <c r="D70" i="3"/>
  <c r="E70" i="3" s="1"/>
  <c r="N38" i="3" s="1"/>
  <c r="D69" i="3"/>
  <c r="E69" i="3" s="1"/>
  <c r="G40" i="3" s="1"/>
  <c r="D68" i="3"/>
  <c r="E68" i="3" s="1"/>
  <c r="D67" i="3"/>
  <c r="E67" i="3" s="1"/>
  <c r="G38" i="3" s="1"/>
  <c r="D66" i="3"/>
  <c r="E66" i="3" s="1"/>
  <c r="N65" i="3"/>
  <c r="D65" i="3"/>
  <c r="E65" i="3" s="1"/>
  <c r="K35" i="3" s="1"/>
  <c r="E64" i="3"/>
  <c r="K34" i="3" s="1"/>
  <c r="D64" i="3"/>
  <c r="K63" i="3"/>
  <c r="D63" i="3"/>
  <c r="E63" i="3" s="1"/>
  <c r="G34" i="3" s="1"/>
  <c r="D62" i="3"/>
  <c r="E62" i="3" s="1"/>
  <c r="N30" i="3" s="1"/>
  <c r="D61" i="3"/>
  <c r="E61" i="3" s="1"/>
  <c r="G32" i="3" s="1"/>
  <c r="G60" i="3"/>
  <c r="D60" i="3"/>
  <c r="E60" i="3" s="1"/>
  <c r="D59" i="3"/>
  <c r="E59" i="3" s="1"/>
  <c r="G30" i="3" s="1"/>
  <c r="D58" i="3"/>
  <c r="E58" i="3" s="1"/>
  <c r="D57" i="3"/>
  <c r="E57" i="3" s="1"/>
  <c r="K56" i="3"/>
  <c r="D56" i="3"/>
  <c r="E56" i="3" s="1"/>
  <c r="D55" i="3"/>
  <c r="E55" i="3" s="1"/>
  <c r="D54" i="3"/>
  <c r="E54" i="3" s="1"/>
  <c r="D53" i="3"/>
  <c r="E53" i="3" s="1"/>
  <c r="G24" i="3" s="1"/>
  <c r="D52" i="3"/>
  <c r="E52" i="3" s="1"/>
  <c r="D51" i="3"/>
  <c r="E51" i="3" s="1"/>
  <c r="G22" i="3" s="1"/>
  <c r="D50" i="3"/>
  <c r="E50" i="3" s="1"/>
  <c r="D49" i="3"/>
  <c r="E49" i="3" s="1"/>
  <c r="D48" i="3"/>
  <c r="E48" i="3" s="1"/>
  <c r="K47" i="3"/>
  <c r="D47" i="3"/>
  <c r="E47" i="3" s="1"/>
  <c r="N15" i="3" s="1"/>
  <c r="D46" i="3"/>
  <c r="E46" i="3" s="1"/>
  <c r="D45" i="3"/>
  <c r="E45" i="3" s="1"/>
  <c r="G44" i="3"/>
  <c r="D44" i="3"/>
  <c r="E44" i="3" s="1"/>
  <c r="K14" i="3" s="1"/>
  <c r="D43" i="3"/>
  <c r="E43" i="3" s="1"/>
  <c r="K13" i="3" s="1"/>
  <c r="D42" i="3"/>
  <c r="E42" i="3" s="1"/>
  <c r="K12" i="3" s="1"/>
  <c r="D41" i="3"/>
  <c r="E41" i="3" s="1"/>
  <c r="K11" i="3" s="1"/>
  <c r="E40" i="3"/>
  <c r="K10" i="3" s="1"/>
  <c r="D40" i="3"/>
  <c r="D39" i="3"/>
  <c r="E39" i="3" s="1"/>
  <c r="K9" i="3" s="1"/>
  <c r="D38" i="3"/>
  <c r="E38" i="3" s="1"/>
  <c r="K8" i="3" s="1"/>
  <c r="D37" i="3"/>
  <c r="E37" i="3" s="1"/>
  <c r="K7" i="3" s="1"/>
  <c r="D36" i="3"/>
  <c r="E36" i="3" s="1"/>
  <c r="K6" i="3" s="1"/>
  <c r="D35" i="3"/>
  <c r="E35" i="3" s="1"/>
  <c r="K5" i="3" s="1"/>
  <c r="D34" i="3"/>
  <c r="E34" i="3" s="1"/>
  <c r="K4" i="3" s="1"/>
  <c r="D33" i="3"/>
  <c r="E33" i="3" s="1"/>
  <c r="K3" i="3" s="1"/>
  <c r="D32" i="3"/>
  <c r="E32" i="3" s="1"/>
  <c r="K31" i="3"/>
  <c r="D31" i="3"/>
  <c r="E31" i="3" s="1"/>
  <c r="D30" i="3"/>
  <c r="E30" i="3" s="1"/>
  <c r="N12" i="3" s="1"/>
  <c r="N29" i="3"/>
  <c r="D29" i="3"/>
  <c r="E29" i="3" s="1"/>
  <c r="D28" i="3"/>
  <c r="E28" i="3" s="1"/>
  <c r="N10" i="3" s="1"/>
  <c r="D27" i="3"/>
  <c r="E27" i="3" s="1"/>
  <c r="N9" i="3" s="1"/>
  <c r="D26" i="3"/>
  <c r="E26" i="3" s="1"/>
  <c r="N8" i="3" s="1"/>
  <c r="D25" i="3"/>
  <c r="E25" i="3" s="1"/>
  <c r="N7" i="3" s="1"/>
  <c r="D24" i="3"/>
  <c r="E24" i="3" s="1"/>
  <c r="N6" i="3" s="1"/>
  <c r="D23" i="3"/>
  <c r="E23" i="3" s="1"/>
  <c r="N5" i="3" s="1"/>
  <c r="D22" i="3"/>
  <c r="E22" i="3" s="1"/>
  <c r="N4" i="3" s="1"/>
  <c r="K21" i="3"/>
  <c r="D21" i="3"/>
  <c r="E21" i="3" s="1"/>
  <c r="N3" i="3" s="1"/>
  <c r="D20" i="3"/>
  <c r="E20" i="3" s="1"/>
  <c r="N19" i="3"/>
  <c r="D19" i="3"/>
  <c r="E19" i="3" s="1"/>
  <c r="D18" i="3"/>
  <c r="E18" i="3" s="1"/>
  <c r="G15" i="3" s="1"/>
  <c r="D17" i="3"/>
  <c r="E17" i="3" s="1"/>
  <c r="G14" i="3" s="1"/>
  <c r="E16" i="3"/>
  <c r="G13" i="3" s="1"/>
  <c r="D16" i="3"/>
  <c r="D15" i="3"/>
  <c r="E15" i="3" s="1"/>
  <c r="G12" i="3" s="1"/>
  <c r="D14" i="3"/>
  <c r="E14" i="3" s="1"/>
  <c r="G11" i="3" s="1"/>
  <c r="D13" i="3"/>
  <c r="E13" i="3" s="1"/>
  <c r="G10" i="3" s="1"/>
  <c r="D12" i="3"/>
  <c r="E12" i="3" s="1"/>
  <c r="G9" i="3" s="1"/>
  <c r="N11" i="3"/>
  <c r="D11" i="3"/>
  <c r="E11" i="3" s="1"/>
  <c r="G8" i="3" s="1"/>
  <c r="D10" i="3"/>
  <c r="E10" i="3" s="1"/>
  <c r="G7" i="3" s="1"/>
  <c r="E9" i="3"/>
  <c r="G6" i="3" s="1"/>
  <c r="D9" i="3"/>
  <c r="D8" i="3"/>
  <c r="E8" i="3" s="1"/>
  <c r="G5" i="3" s="1"/>
  <c r="D7" i="3"/>
  <c r="E7" i="3" s="1"/>
  <c r="G4" i="3" s="1"/>
  <c r="D6" i="3"/>
  <c r="E6" i="3" s="1"/>
  <c r="G3" i="3" s="1"/>
  <c r="D5" i="3"/>
  <c r="E5" i="3" s="1"/>
  <c r="A118" i="1"/>
  <c r="A117" i="1"/>
  <c r="A116" i="1"/>
  <c r="A115" i="1"/>
  <c r="A114" i="1"/>
  <c r="A113" i="1"/>
  <c r="A112" i="1"/>
  <c r="A111" i="1"/>
  <c r="A110" i="1"/>
  <c r="A109" i="1"/>
  <c r="A108" i="1"/>
  <c r="A107" i="1"/>
  <c r="A106" i="1"/>
  <c r="A105" i="1"/>
  <c r="A104" i="1"/>
  <c r="A103" i="1"/>
  <c r="A102" i="1"/>
  <c r="J46" i="1"/>
  <c r="I46" i="1"/>
  <c r="H46" i="1"/>
  <c r="G46" i="1"/>
  <c r="J45" i="1"/>
  <c r="I45" i="1"/>
  <c r="H45" i="1"/>
  <c r="G45" i="1"/>
  <c r="J44" i="1"/>
  <c r="I44" i="1"/>
  <c r="H44" i="1"/>
  <c r="G44" i="1"/>
  <c r="J43" i="1"/>
  <c r="I43" i="1"/>
  <c r="H43" i="1"/>
  <c r="G43" i="1"/>
  <c r="J42" i="1"/>
  <c r="I42" i="1"/>
  <c r="H42" i="1"/>
  <c r="G42" i="1"/>
  <c r="J41" i="1"/>
  <c r="I41" i="1"/>
  <c r="H41" i="1"/>
  <c r="G41" i="1"/>
  <c r="J40" i="1"/>
  <c r="I40" i="1"/>
  <c r="H40" i="1"/>
  <c r="G40" i="1"/>
  <c r="J39" i="1"/>
  <c r="I39" i="1"/>
  <c r="H39" i="1"/>
  <c r="G39" i="1"/>
  <c r="J38" i="1"/>
  <c r="I38" i="1"/>
  <c r="H38" i="1"/>
  <c r="G38" i="1"/>
  <c r="J37" i="1"/>
  <c r="I37" i="1"/>
  <c r="H37" i="1"/>
  <c r="G37" i="1"/>
  <c r="J36" i="1"/>
  <c r="I36" i="1"/>
  <c r="H36" i="1"/>
  <c r="G36" i="1"/>
  <c r="J35" i="1"/>
  <c r="I35" i="1"/>
  <c r="H35" i="1"/>
  <c r="G35" i="1"/>
  <c r="J34" i="1"/>
  <c r="I34" i="1"/>
  <c r="H34" i="1"/>
  <c r="G34" i="1"/>
  <c r="J33" i="1"/>
  <c r="I33" i="1"/>
  <c r="H33" i="1"/>
  <c r="G33" i="1"/>
  <c r="J32" i="1"/>
  <c r="I32" i="1"/>
  <c r="H32" i="1"/>
  <c r="G32" i="1"/>
  <c r="J31" i="1"/>
  <c r="I31" i="1"/>
  <c r="H31" i="1"/>
  <c r="G31" i="1"/>
  <c r="J30" i="1"/>
  <c r="I30" i="1"/>
  <c r="H30" i="1"/>
  <c r="G30" i="1"/>
  <c r="I29" i="1"/>
  <c r="G29" i="1"/>
  <c r="I28" i="1"/>
  <c r="G28" i="1"/>
  <c r="J27" i="1"/>
  <c r="I27" i="1"/>
  <c r="H27" i="1"/>
  <c r="G27" i="1"/>
  <c r="J26" i="1"/>
  <c r="I26" i="1"/>
  <c r="H26" i="1"/>
  <c r="G26" i="1"/>
  <c r="J25" i="1"/>
  <c r="I25" i="1"/>
  <c r="H25" i="1"/>
  <c r="G25" i="1"/>
  <c r="G23" i="1"/>
  <c r="H23" i="1" s="1"/>
  <c r="I23" i="1" s="1"/>
  <c r="G22" i="1"/>
  <c r="H22" i="1" s="1"/>
  <c r="I22" i="1" s="1"/>
  <c r="G21" i="1"/>
  <c r="H21" i="1" s="1"/>
  <c r="I21" i="1" s="1"/>
  <c r="G20" i="1"/>
  <c r="H20" i="1" s="1"/>
  <c r="I20" i="1" s="1"/>
  <c r="I19" i="1"/>
  <c r="H18" i="1"/>
  <c r="I18" i="1" s="1"/>
  <c r="H17" i="1"/>
  <c r="I17" i="1" s="1"/>
  <c r="H16" i="1"/>
  <c r="I16" i="1" s="1"/>
  <c r="H15" i="1"/>
  <c r="I15" i="1" s="1"/>
  <c r="H14" i="1"/>
  <c r="I14" i="1" s="1"/>
  <c r="G12" i="1"/>
  <c r="H12" i="1" s="1"/>
  <c r="I12" i="1" s="1"/>
  <c r="G11" i="1"/>
  <c r="H11" i="1" s="1"/>
  <c r="I11" i="1" s="1"/>
  <c r="G10" i="1"/>
  <c r="H10" i="1" s="1"/>
  <c r="I10" i="1" s="1"/>
  <c r="G8" i="1"/>
  <c r="H8" i="1" s="1"/>
  <c r="I8" i="1" s="1"/>
  <c r="G7" i="1"/>
  <c r="H7" i="1" s="1"/>
  <c r="I7" i="1" s="1"/>
  <c r="G59" i="3" l="1"/>
  <c r="N56" i="3"/>
  <c r="N50" i="3"/>
  <c r="G53" i="3"/>
  <c r="K52" i="3"/>
  <c r="K25" i="3"/>
  <c r="G26" i="3"/>
  <c r="G27" i="3"/>
  <c r="N24" i="3"/>
  <c r="G67" i="3"/>
  <c r="K95" i="3"/>
  <c r="N32" i="3"/>
  <c r="N45" i="3"/>
  <c r="G68" i="3"/>
  <c r="N21" i="3"/>
  <c r="J13" i="1"/>
  <c r="G35" i="3"/>
  <c r="I47" i="1"/>
  <c r="O47" i="1" s="1"/>
  <c r="N86" i="3"/>
  <c r="K88" i="3"/>
  <c r="G89" i="3"/>
  <c r="K30" i="3"/>
  <c r="G31" i="3"/>
  <c r="K44" i="3"/>
  <c r="N42" i="3"/>
  <c r="G45" i="3"/>
  <c r="G78" i="3"/>
  <c r="N75" i="3"/>
  <c r="K77" i="3"/>
  <c r="K20" i="3"/>
  <c r="G21" i="3"/>
  <c r="G72" i="3"/>
  <c r="N69" i="3"/>
  <c r="K71" i="3"/>
  <c r="G91" i="3"/>
  <c r="N88" i="3"/>
  <c r="K90" i="3"/>
  <c r="G37" i="3"/>
  <c r="N34" i="3"/>
  <c r="K36" i="3"/>
  <c r="K22" i="3"/>
  <c r="G23" i="3"/>
  <c r="G19" i="3"/>
  <c r="N16" i="3"/>
  <c r="K18" i="3"/>
  <c r="N60" i="3"/>
  <c r="G63" i="3"/>
  <c r="K68" i="3"/>
  <c r="N66" i="3"/>
  <c r="G69" i="3"/>
  <c r="N78" i="3"/>
  <c r="G81" i="3"/>
  <c r="K80" i="3"/>
  <c r="N84" i="3"/>
  <c r="G87" i="3"/>
  <c r="K86" i="3"/>
  <c r="G25" i="3"/>
  <c r="N22" i="3"/>
  <c r="K24" i="3"/>
  <c r="K28" i="3"/>
  <c r="G29" i="3"/>
  <c r="K50" i="3"/>
  <c r="N48" i="3"/>
  <c r="G51" i="3"/>
  <c r="N31" i="3"/>
  <c r="K42" i="3"/>
  <c r="K29" i="3"/>
  <c r="K39" i="3"/>
  <c r="K58" i="3"/>
  <c r="G61" i="3"/>
  <c r="K70" i="3"/>
  <c r="G93" i="3"/>
  <c r="G18" i="3"/>
  <c r="K26" i="3"/>
  <c r="K32" i="3"/>
  <c r="N58" i="3"/>
  <c r="K61" i="3"/>
  <c r="N67" i="3"/>
  <c r="K74" i="3"/>
  <c r="N27" i="3"/>
  <c r="N37" i="3"/>
  <c r="N40" i="3"/>
  <c r="G33" i="3"/>
  <c r="K33" i="3"/>
  <c r="N72" i="3"/>
  <c r="G47" i="1"/>
  <c r="G48" i="1" s="1"/>
  <c r="J47" i="1"/>
  <c r="J48" i="1" s="1"/>
  <c r="H47" i="1"/>
  <c r="J23" i="1"/>
  <c r="K19" i="3"/>
  <c r="N17" i="3"/>
  <c r="G20" i="3"/>
  <c r="K41" i="3"/>
  <c r="G42" i="3"/>
  <c r="N39" i="3"/>
  <c r="K49" i="3"/>
  <c r="G50" i="3"/>
  <c r="N47" i="3"/>
  <c r="J18" i="1"/>
  <c r="K38" i="3"/>
  <c r="G39" i="3"/>
  <c r="N36" i="3"/>
  <c r="K81" i="3"/>
  <c r="N79" i="3"/>
  <c r="G82" i="3"/>
  <c r="N44" i="3"/>
  <c r="K46" i="3"/>
  <c r="G47" i="3"/>
  <c r="K27" i="3"/>
  <c r="N25" i="3"/>
  <c r="G28" i="3"/>
  <c r="K73" i="3"/>
  <c r="N71" i="3"/>
  <c r="K76" i="3"/>
  <c r="N74" i="3"/>
  <c r="G80" i="3"/>
  <c r="K79" i="3"/>
  <c r="K89" i="3"/>
  <c r="N87" i="3"/>
  <c r="N18" i="3"/>
  <c r="K23" i="3"/>
  <c r="N26" i="3"/>
  <c r="N33" i="3"/>
  <c r="G55" i="3"/>
  <c r="K83" i="3"/>
  <c r="N81" i="3"/>
  <c r="G84" i="3"/>
  <c r="N23" i="3"/>
  <c r="N35" i="3"/>
  <c r="K37" i="3"/>
  <c r="G41" i="3"/>
  <c r="K45" i="3"/>
  <c r="G49" i="3"/>
  <c r="K53" i="3"/>
  <c r="K55" i="3"/>
  <c r="G57" i="3"/>
  <c r="N61" i="3"/>
  <c r="G90" i="3"/>
  <c r="K93" i="3"/>
  <c r="K94" i="3"/>
  <c r="N92" i="3"/>
  <c r="K17" i="3"/>
  <c r="N20" i="3"/>
  <c r="N28" i="3"/>
  <c r="N41" i="3"/>
  <c r="N43" i="3"/>
  <c r="N49" i="3"/>
  <c r="N51" i="3"/>
  <c r="N53" i="3"/>
  <c r="N55" i="3"/>
  <c r="N57" i="3"/>
  <c r="N59" i="3"/>
  <c r="K66" i="3"/>
  <c r="G71" i="3"/>
  <c r="K85" i="3"/>
  <c r="N93" i="3"/>
  <c r="K62" i="3"/>
  <c r="G77" i="3"/>
  <c r="K82" i="3"/>
  <c r="N62" i="3"/>
  <c r="G65" i="3"/>
  <c r="K84" i="3"/>
  <c r="N82" i="3"/>
  <c r="G88" i="3"/>
  <c r="K87" i="3"/>
  <c r="G36" i="3"/>
  <c r="K69" i="3"/>
  <c r="G74" i="3"/>
  <c r="N91" i="3"/>
  <c r="K75" i="3"/>
  <c r="G76" i="3"/>
  <c r="K78" i="3"/>
  <c r="N76" i="3"/>
  <c r="K91" i="3"/>
  <c r="N89" i="3"/>
  <c r="G92" i="3"/>
  <c r="K40" i="3"/>
  <c r="K48" i="3"/>
  <c r="G52" i="3"/>
  <c r="K54" i="3"/>
  <c r="G58" i="3"/>
  <c r="N77" i="3"/>
  <c r="N80" i="3"/>
  <c r="N83" i="3"/>
  <c r="K65" i="3"/>
  <c r="N63" i="3"/>
  <c r="N70" i="3"/>
  <c r="G73" i="3"/>
  <c r="N90" i="3"/>
  <c r="H48" i="1" l="1"/>
  <c r="H50" i="1" s="1"/>
  <c r="J49" i="1" l="1"/>
  <c r="I49" i="1"/>
  <c r="G49" i="1"/>
</calcChain>
</file>

<file path=xl/sharedStrings.xml><?xml version="1.0" encoding="utf-8"?>
<sst xmlns="http://schemas.openxmlformats.org/spreadsheetml/2006/main" count="1285" uniqueCount="685">
  <si>
    <t xml:space="preserve">       Travel Itinerary                 </t>
  </si>
  <si>
    <t>Guest Name : -- 
Guest Number : --</t>
  </si>
  <si>
    <t xml:space="preserve">Transport : 7 Seater Private Car   </t>
  </si>
  <si>
    <t>PLACE</t>
  </si>
  <si>
    <t>4 STAR HOTEL NAME ( Not Booked )  ( With Breakfast )</t>
  </si>
  <si>
    <t>PERIOD OF STAY</t>
  </si>
  <si>
    <t xml:space="preserve">                                                  15 January  /  Nights </t>
  </si>
  <si>
    <t xml:space="preserve">                                                  16 January  /  Nights </t>
  </si>
  <si>
    <t xml:space="preserve">                                                  17 January  /  Nights </t>
  </si>
  <si>
    <t xml:space="preserve">                                                  18 January  /  Nights </t>
  </si>
  <si>
    <t>5 STAR HOTEL NAME ( Not Booked )  ( With Breakfast )</t>
  </si>
  <si>
    <t>Cruise</t>
  </si>
  <si>
    <t>3 STAR HOTEL NAME ( Not Booked )  ( With Breakfast )</t>
  </si>
  <si>
    <t>Day -Date ( Approx )</t>
  </si>
  <si>
    <t>Pick-Up Time</t>
  </si>
  <si>
    <t>Pick-Up Point</t>
  </si>
  <si>
    <t>Guide</t>
  </si>
  <si>
    <t xml:space="preserve">Tour/Tranasfer program </t>
  </si>
  <si>
    <t>Meal</t>
  </si>
  <si>
    <t>Guide/Person</t>
  </si>
  <si>
    <t>Tour Program</t>
  </si>
  <si>
    <t>Car Rate/Person</t>
  </si>
  <si>
    <t xml:space="preserve">Hanoi Airport ARRIVAL - T2 - PILLAR 10 1F Car pickup point. </t>
  </si>
  <si>
    <t>No</t>
  </si>
  <si>
    <t xml:space="preserve">Hanoi Airport - 200 Km 4 hours drive - Halong bay- 11:30 AM need to reach at Halong bay for cruise depart </t>
  </si>
  <si>
    <t>Local L,Local D</t>
  </si>
  <si>
    <t>Yes</t>
  </si>
  <si>
    <t xml:space="preserve">Halong Bay - Hanoi 4 hour 200 km Drive - Hanoi - 4 hours Hanoi City Tour - Hanoi Hotel drop    </t>
  </si>
  <si>
    <t>Local Br</t>
  </si>
  <si>
    <t xml:space="preserve">Hanoi Hotel - Hanoi Airport Drop </t>
  </si>
  <si>
    <t>N\A</t>
  </si>
  <si>
    <t xml:space="preserve">Danang Airport - Danang Hotel Drop </t>
  </si>
  <si>
    <t xml:space="preserve">Danang Hotel - Ba Na Hills Tour (2 way cable car + Fantasy park + Golden Bridge + French village ) -  Danang hotel </t>
  </si>
  <si>
    <t xml:space="preserve">Danang Hotel - Marble Mountain - Coconut Village - Basket Boat Ride - Hoi An Ancient Town - Lantern Boat Ride - Hotel Drop  </t>
  </si>
  <si>
    <t>Danang Hotel - Danang Airport Drop</t>
  </si>
  <si>
    <t xml:space="preserve">Ho Chi Minh Airport - Ho Chi Minh Hotel Drop </t>
  </si>
  <si>
    <t>Ho Chi Minh Hotel - Cu Chi Tunnel Tour - HCM City Tour (War remnants Museum + Independence +Ben Thanh Market + Presidential Palace + Notre Dame Cathedral) - Hotel Drop</t>
  </si>
  <si>
    <t>HCM Hotel - HCM Airport Drop</t>
  </si>
  <si>
    <t>---</t>
  </si>
  <si>
    <t>Note : Any Airport pickup waiting time 1 Hour from the time of landing of flight. And pickup time from hotel for any international flight 4 hour before departure time, and 3 hour for domestic local vietnam internal flight. If Any Flight Delay / Early inform us in advance.If any flight early/delay/cancelled due to any reason are not responsible for pickup/drop or missed flight due to pickup/drop. Extra charges applicable in pickup/drop to/from airport without prior information of above.</t>
  </si>
  <si>
    <t>Remark 1 : Buy local Sim card at Arrival Airport and send us guest number on our whatsup number for communication. In any airport pickup /drop 1 bag of 20Kg luggage bag per person and 1 hand bag 7 kg per person allowed in car, if more bags extra charges pay by guest.</t>
  </si>
  <si>
    <r>
      <rPr>
        <sz val="11"/>
        <color theme="1"/>
        <rFont val="Times New Roman"/>
        <family val="1"/>
      </rPr>
      <t xml:space="preserve">Remark 2: In city tour Temple/Pagoda/Church/Mauseloum - Full cloths compulsory for Gents/ladies/child. Ladies also put Scarf in pocket if needed wear it. Take swimming costume &amp; extra short cloths in theme park and water park tour, Bring Umbrella in your bag during trip. </t>
    </r>
    <r>
      <rPr>
        <b/>
        <sz val="11"/>
        <color theme="1"/>
        <rFont val="Times New Roman"/>
        <family val="1"/>
      </rPr>
      <t>Compulsory Tip : 3 USD per pax per day.</t>
    </r>
  </si>
  <si>
    <t xml:space="preserve">       Adult Price:   USD PP ( Hotel + Food + Transport + Guide + Activity sightseen )</t>
  </si>
  <si>
    <t>Remark:</t>
  </si>
  <si>
    <t>              Price based on twin/triple sharing room per person. We not hold hotel rooms so it subject to availability at the time of booking confirmation from your end.</t>
  </si>
  <si>
    <t xml:space="preserve">              Prices quoted in USD and subject to change without prior notice. </t>
  </si>
  <si>
    <t xml:space="preserve">              Please be informed that the quotation does not imply or constitute availability. </t>
  </si>
  <si>
    <t xml:space="preserve">              In case if the hotel listed is unavailable, other similar class hotel shall be provided. </t>
  </si>
  <si>
    <t>              Compulsory Gala Dinner will be applied during Christmas Eve and New Year Eve</t>
  </si>
  <si>
    <t xml:space="preserve"> Indian Meal Optional Cost without transfer – 15 USD per person per meal – 17 USD per person with transfer.   (Gujarati/Kathiawadi/Punjabi/South Indian Food served) </t>
  </si>
  <si>
    <t>              Airfare is same for children from 2 year-old and adult</t>
  </si>
  <si>
    <t>              TIP is Compulsory for driver &amp; guide is USD 3/pax/day.</t>
  </si>
  <si>
    <t>Price IncludeS:</t>
  </si>
  <si>
    <t>              Transportation with air-conditioned as program PVT.</t>
  </si>
  <si>
    <t>              Tour arrival and departure airport transfers</t>
  </si>
  <si>
    <t>              Accommodation base on a twin-share basis.</t>
  </si>
  <si>
    <t>              breakfast (check-in time: 14:00/Check-out time: 12:00)</t>
  </si>
  <si>
    <t>              English Speaking Guide as per mentioned above itiernary.</t>
  </si>
  <si>
    <t xml:space="preserve">              All Entrance fee, Meals as mentioned in program </t>
  </si>
  <si>
    <t>              Mineral water 2 bottles per person per day.</t>
  </si>
  <si>
    <t>Price ExcludeS:</t>
  </si>
  <si>
    <t>              PCR Covid test or Rapid test before arrival. Guide available where mentioned, extra days guide charge extra.</t>
  </si>
  <si>
    <t xml:space="preserve">              Vietnam E-Visa charges </t>
  </si>
  <si>
    <t>              International airfare in &amp; out Vietnam &amp; Internal domestic airfare extra.</t>
  </si>
  <si>
    <t>              Beverages and other meals do not indicate in the program</t>
  </si>
  <si>
    <t>              Early check-in and late check-out at all hotels</t>
  </si>
  <si>
    <t xml:space="preserve">              Travel insurance in all kinds, Personal expenses (laundry, telephone, shopping...) </t>
  </si>
  <si>
    <r>
      <rPr>
        <sz val="11"/>
        <color rgb="FF000000"/>
        <rFont val="Times New Roman"/>
        <family val="1"/>
      </rPr>
      <t xml:space="preserve">              </t>
    </r>
    <r>
      <rPr>
        <b/>
        <sz val="11"/>
        <color rgb="FF000000"/>
        <rFont val="Times New Roman"/>
        <family val="1"/>
      </rPr>
      <t>Tipping/ Gratuities (About 3 USD/Person/Day)</t>
    </r>
  </si>
  <si>
    <t xml:space="preserve">               Any additional expenses caused by reasons beyond our control such as natural calamities (typhoon, floods), flight delays,                                                                            rescheduling or  cancellations,accidents, medical evacuations, riots, strikes etc.</t>
  </si>
  <si>
    <t>             Surcharge for peak season: New Year (01 – 05 Jan), Lunar New Year (7 – 15 Feb),     Nation    Day (30 Apr – 01 May), Independence Day (02 Sep) Christmas (20 – 31 Dec)</t>
  </si>
  <si>
    <t>Extra Adult &amp; Child Policy:</t>
  </si>
  <si>
    <t xml:space="preserve">            Child from &amp; above 12 years old up: 100% of adult fare</t>
  </si>
  <si>
    <t xml:space="preserve">            Child from &amp; under 11 years old sharing with 01 adult: 90% of adult fare</t>
  </si>
  <si>
    <t xml:space="preserve">            Child from &amp; under 11 years old sharing with 02 adults with extra bed: 85% of adult fare</t>
  </si>
  <si>
    <t xml:space="preserve">           Child from &amp; under 11 years old sharing with 02 adults without extra bed: 75% of adult fare</t>
  </si>
  <si>
    <t xml:space="preserve">           Child from &amp; under 02 years old sharing with 02 adults without bed: FOC</t>
  </si>
  <si>
    <t>Cancellation Policy (applied for FIT bookings only, NOT in PEAK SEASON):</t>
  </si>
  <si>
    <t xml:space="preserve">              All cancellation must be made in writing </t>
  </si>
  <si>
    <t>              Any cancellation after confirmation of booking : 10% charge</t>
  </si>
  <si>
    <t>              Any cancellation between 29Days – 15 Days prior to arrival date: 75% of tour fare charge</t>
  </si>
  <si>
    <t>              Any cancellation less than 14s Days: 100% of tour fare charge</t>
  </si>
  <si>
    <t>EVISA Documents required:</t>
  </si>
  <si>
    <t>              Proper Scan copy of Passport with at least 6 months’ validity</t>
  </si>
  <si>
    <t>              Two recent passport photograph ( 35 x 45cm ), Confirmed return flight ticket ( All in digital format to us by email only )</t>
  </si>
  <si>
    <t>Important: In order to be admitted into the country, tourists may need to demonstrate that they have sufficient funds for their stay and a return ticket.</t>
  </si>
  <si>
    <t>Vietnam Itinerary</t>
  </si>
  <si>
    <t xml:space="preserve">Hanoi Airport  - Hanoi Hotel drop </t>
  </si>
  <si>
    <t xml:space="preserve">Hanoi Airport - Hanoi - 4 Hour Hanoi City Tour (HCM Complex + One piller pagoda + Old quarter shopping market + Train Street) - Hanoi Hotel drop </t>
  </si>
  <si>
    <t xml:space="preserve">Hanoi Airport - Hanoi - 4 Hour Hanoi City Tour (HCM Complex + One piller pagoda + Old quarter shopping market + Train Street)- 50 Min Cyclo Tour - Hanoi Hotel Drop </t>
  </si>
  <si>
    <t xml:space="preserve">Hanoi Airport - Hanoi - 4 Hour Hanoi City Tour (HCM Complex + One piller pagoda + Old quarter shopping market + Train Street)- 50 Min Cyclo Tour - Water Puppet Show - Hanoi Hotel Drop </t>
  </si>
  <si>
    <t xml:space="preserve">Hanoi Airport - Hanoi - 4 Hour Hanoi City Tour (HCM Complex + One piller pagoda + Old quarter shopping market + Train Street) - Water Puppet Show - Hanoi Hotel Drop </t>
  </si>
  <si>
    <t>Hanoi Hotel - Full Day  Hanoi City Tour - Hotel Drop</t>
  </si>
  <si>
    <t>Hanoi Hotel - 4 Hours Hanoi City Tour (HCM Complex + One piller pagoda + Old quarter shopping market + Train Street) - Hotel Drop</t>
  </si>
  <si>
    <t xml:space="preserve">Hanoi Airport - 100 KM 2 hours - Ninh Binh Tour - Trang An River boat ride with three caves - Hotel Drop </t>
  </si>
  <si>
    <t xml:space="preserve">Hanoi Airport - 100 KM 2 hours - Ninh Binh Tour (With Lunch)- Trang An River boat ride with three caves - Hotel Drop </t>
  </si>
  <si>
    <t xml:space="preserve">Hanoi Hotel - 100 KM 2 hours - Ninh Binh Tour - Trang An River boat ride with three caves - Hotel Drop </t>
  </si>
  <si>
    <t xml:space="preserve">Hanoi Hotel - 100 KM 2 hours - Ninh Binh Tour (With Lunch) - Trang An River boat ride with three caves - Hotel Drop </t>
  </si>
  <si>
    <t>D</t>
  </si>
  <si>
    <t>L,D</t>
  </si>
  <si>
    <t xml:space="preserve">Hanoi Hotel - 200 Km 4 hours drive - Halong bay- 11:30 AM need to reach at Halong bay for cruise depart </t>
  </si>
  <si>
    <t>Hanoi Hotel - 200 Km 4 hours drive - Halong bay day cruise - 11:30 AM need to reach at Halong bay for cruise depart - 200 Km 4 hours drive - Hanoi Hotel Drop</t>
  </si>
  <si>
    <t>Local L</t>
  </si>
  <si>
    <t xml:space="preserve">Halong Bay - Hanoi 4 hour 200 km Drive - Hanoi Hotel drop    </t>
  </si>
  <si>
    <t>Local L,D</t>
  </si>
  <si>
    <t>Local Br,D</t>
  </si>
  <si>
    <t xml:space="preserve">Halong Bay - Hanoi 4 hour 200 km Drive - Hanoi Airport drop    </t>
  </si>
  <si>
    <t>Hanoi Airport - 300KM 6 hour Sapa - Sapa Hotel Drop  (1 Night)</t>
  </si>
  <si>
    <t>L</t>
  </si>
  <si>
    <t>Hanoi Airport - 300KM 6 hour Sapa - Sapa Hotel Drop  (2 Nights)</t>
  </si>
  <si>
    <t>Br</t>
  </si>
  <si>
    <t>Hanoi Airport - 300KM 6 hour Sapa -  Sapa Hotel Drop  (3 Nights)</t>
  </si>
  <si>
    <t>Br,D</t>
  </si>
  <si>
    <t>Hanoi Hotel - 300KM 6 hour Sapa -  Sapa Hotel Drop (1 Night)</t>
  </si>
  <si>
    <t>(B,L,D) Limited Indian Food</t>
  </si>
  <si>
    <t>Hanoi Hotel - 300KM 6 hour Sapa -  Sapa Hotel Drop  (2 Nights)</t>
  </si>
  <si>
    <t>Hanoi Hotel - 300KM 6 hour Sapa -  Sapa Hotel Drop  (3 Nights)</t>
  </si>
  <si>
    <t xml:space="preserve">Hanoi Airport - 300KM 6 hour Sapa - Moana Sculpture - Sapa Hotel Drop  </t>
  </si>
  <si>
    <t xml:space="preserve">Hanoi Airport - 300KM 6 hour Sapa - Cat Cat Village Tour - Sapa Hotel Drop  </t>
  </si>
  <si>
    <t xml:space="preserve">Hanoi Airport - 300KM 6 hour Sapa - Glass Bottom Bridge - Sapa Hotel Drop  </t>
  </si>
  <si>
    <t xml:space="preserve">Hanoi Hotel - 300KM 6 hour Sapa - Moana Sculpture - Cat Cat Village tour - Sapa Hotel Drop  </t>
  </si>
  <si>
    <t xml:space="preserve">Sapa Hotel - Moana Sculpture - Cat Cat Village tour - Sapa Hotel Drop </t>
  </si>
  <si>
    <t xml:space="preserve">Sapa Hotel - Moana Sculpture - Sapa Hotel Drop </t>
  </si>
  <si>
    <t xml:space="preserve">Sapa Hotel - Cat Cat Village tour - Sapa Hotel Drop </t>
  </si>
  <si>
    <t xml:space="preserve">Sapa Hotel -  Fansipan Mountain - Glass Bottom Bridge - 300km 6 hour drive - Hanoi Hotel drop </t>
  </si>
  <si>
    <t xml:space="preserve">Sapa Hotel -  Fansipan Mountain - 300km 6 hour drive  - Hanoi Hotel drop </t>
  </si>
  <si>
    <t xml:space="preserve">Sapa Hotel -  Glass Bottom Bridge - 300km 6 hour drive  - Hanoi Hotel drop </t>
  </si>
  <si>
    <t xml:space="preserve">Sapa Hotel -  Fansipan Mountain - Glass Bottom Bridge -  Sapa Hotel drop </t>
  </si>
  <si>
    <t xml:space="preserve">Sapa Hotel -  Fansipan Mountain - Sapa Hotel drop </t>
  </si>
  <si>
    <t xml:space="preserve">Sapa Hotel -  Glass Bottom Bridge -  Sapa Hotel drop </t>
  </si>
  <si>
    <t>Sapa Hotel - 300 KM 6 hours Drive - Hanoi Hotel Drop</t>
  </si>
  <si>
    <t xml:space="preserve">Sapa Hotel - 300 KM 6 hours Drive - Hanoi - Hanoi Airport Drop </t>
  </si>
  <si>
    <t xml:space="preserve">Danang Airport - Danang - Danang City Tour (Dragon Bridge + Pink Church + My Khe Beach + Han Market) - Danang Hotel Drop  </t>
  </si>
  <si>
    <t>Danang Hotel - Danang City Tour (Dragon Bridge + Pink Church + My Khe Beach + Han Market) - Danang Hotel Drop</t>
  </si>
  <si>
    <t xml:space="preserve">Danang Hotel - Ba Na Hills Tour (2 way cable car + Fantasy park + Golden Bridge + French village ) (With Lunch) - Danang hotel </t>
  </si>
  <si>
    <t xml:space="preserve">Danang Hotel - Marble Mountain - Coconut Village - Basket Boat Ride - Hoi An Ancient Town - Hotel Drop  </t>
  </si>
  <si>
    <t xml:space="preserve">Danang Hotel - Marble Mountain - Coconut Village ( Basket Boat Ride By Own ) - Hoi An Ancient Town - Hotel Drop  </t>
  </si>
  <si>
    <t xml:space="preserve">Danang Hotel - Marble Mountain - Hoi An Ancient Town - Hotel Drop  </t>
  </si>
  <si>
    <t xml:space="preserve">Danang Hotel - Hoi An Ancient Town - Hotel Drop  </t>
  </si>
  <si>
    <t xml:space="preserve">Danang Hotel - Coconut Village ( Basket Boat Ride By Own ) - Hoi An Ancient Town - Hotel Drop  </t>
  </si>
  <si>
    <t xml:space="preserve">Danang Airport - Marble Mountain - Coconut Village - Basket Boat Ride - Hoi An Ancient Town - Lantern Boat Ride - Hotel Drop  </t>
  </si>
  <si>
    <t xml:space="preserve">Danang Airport - Marble Mountain - Coconut Village - Basket Boat Ride - Hoi An Ancient Town - Hotel Drop  </t>
  </si>
  <si>
    <t xml:space="preserve">Danang Airport - Marble Mountain - Coconut Village ( Basket Boat Ride By Own ) - Hoi An Ancient Town - Hotel Drop  </t>
  </si>
  <si>
    <t xml:space="preserve">Danang Airport - Marble Mountain - Hoi An Ancient Town - Hotel Drop  </t>
  </si>
  <si>
    <t xml:space="preserve">Danang Airport - Hoi An Ancient Town - Hotel Drop  </t>
  </si>
  <si>
    <t xml:space="preserve">Danang Airport - Coconut Village ( Basket Boat Ride By Own ) - Hoi An Ancient Town - Hotel Drop  </t>
  </si>
  <si>
    <t>Danang Hotel - Cham Island Tour - Hotel Drop</t>
  </si>
  <si>
    <t xml:space="preserve">Ho Chi Minh Airport - HCM City Tour (War remnants Museum + Independence +Ben Thanh Market + Presidential Palace + Notre Dame Cathedral) - Ho Chi Minh Hotel Drop </t>
  </si>
  <si>
    <t xml:space="preserve">Ho Chi Minh Airport - HCM city Tour (War remnants Museum + Independence +Ben Thanh Market + Presidential Palace + Notre Dame Cathedral) - Hop on Hop off city tour - Hotel Drop </t>
  </si>
  <si>
    <t xml:space="preserve">Ho Chi Minh Hotel - HCM city Tour (War remnants Museum + Independence +Ben Thanh Market + Presidential Palace + Notre Dame Cathedral) - Hop on Hop off city tour - Hotel Drop </t>
  </si>
  <si>
    <t>Ho Chi Minh Hotel - Cu Chi Tunnel Tour - Mekong Delta - Hotel Drop</t>
  </si>
  <si>
    <t xml:space="preserve">Ho Chi Minh Airport - Mekong Delta - Ho Chi Minh Hotel drop </t>
  </si>
  <si>
    <t xml:space="preserve">Ho Chi Minh Hotel - Mekong Delta - Hotel drop </t>
  </si>
  <si>
    <t xml:space="preserve">Ho Chi Minh Hotel - Mekong Delta - HCM Airport drop </t>
  </si>
  <si>
    <t xml:space="preserve">Ho Chi Minh Airport -  Cu Chi Tunnel Tour - Ho Chi Minh Hotel drop </t>
  </si>
  <si>
    <t xml:space="preserve">HCM Hotel -  Cu Chi Tunnel Tour - Hotel drop </t>
  </si>
  <si>
    <t xml:space="preserve">HCM Hotel -  Cu Chi Tunnel Tour - HCM Airport drop </t>
  </si>
  <si>
    <t xml:space="preserve">Phu Quoc Airport - Phu Quoc Hotel Drop  </t>
  </si>
  <si>
    <t xml:space="preserve">Phu Quoc Hotel - Vin Pearl Safari &amp; Vin Wonders - Hotel Drop </t>
  </si>
  <si>
    <t xml:space="preserve">Phu Quoc Hotel - Full Day - 3 Island tour in south by speedboat - Hotel drop </t>
  </si>
  <si>
    <t xml:space="preserve">Phu Quoc Hotel - Full Day - 3 Island tour in south by speedboat - One Way Cable Car - Hotel drop </t>
  </si>
  <si>
    <t xml:space="preserve">Phu Quoc Hotel - Full Day - 4 Island tour in south by speedboat - One Way Cable Car - Aquatopia Water Park -  Hotel drop </t>
  </si>
  <si>
    <t xml:space="preserve">Phu Quoc Hotel - Full Day - 4 Island tour in south by speedboat - Hotel drop </t>
  </si>
  <si>
    <t>Phu Quoc Hotel - Phu Quoc Airport Drop</t>
  </si>
  <si>
    <t xml:space="preserve">Siem Reap Airport  - Siem Reap Hotel Drop </t>
  </si>
  <si>
    <t xml:space="preserve">Siem Reap Airport - Hotel - Apsara Dance Show - Siem Reap Hotel Drop </t>
  </si>
  <si>
    <t xml:space="preserve">Siem Reap Airport - Hotel - Apsara Dance Show - Dinner At Amazon Restaurant - Siem Reap Hotel Drop </t>
  </si>
  <si>
    <t xml:space="preserve">Siem Reap Airport - Hotel - Apsara Dance Show - Dinner At Kanella Restaurant - Siem Reap Hotel Drop </t>
  </si>
  <si>
    <t xml:space="preserve">Siem Reap Hotel - Angkor Temple tour with guide - Hotel Drop </t>
  </si>
  <si>
    <t xml:space="preserve">Siem Reap Hotel - Floating village with guide - Hotel Drop </t>
  </si>
  <si>
    <t>Siem Reap Hotel - Siem Reap Airport Drop</t>
  </si>
  <si>
    <t xml:space="preserve">Siem Reap Hotel - Drive By Car - Phnom Penh Hotel Drop </t>
  </si>
  <si>
    <t xml:space="preserve">Phnom Penh Hotel - Royal Palace and Silver Pagoda with guide - National Museum and Tuol Sleng Museum - Choeung Ek - Market By Own - Hotel Drop </t>
  </si>
  <si>
    <t xml:space="preserve">Phnom Penh Hotel - Phnom Penh Airport Drop </t>
  </si>
  <si>
    <t xml:space="preserve">HANOI </t>
  </si>
  <si>
    <t>HANOI</t>
  </si>
  <si>
    <t xml:space="preserve">4 star </t>
  </si>
  <si>
    <t xml:space="preserve">5 STAR </t>
  </si>
  <si>
    <t xml:space="preserve">3 STAR </t>
  </si>
  <si>
    <t xml:space="preserve">HOTEL NAME (Room Category) </t>
  </si>
  <si>
    <t xml:space="preserve">PRICE </t>
  </si>
  <si>
    <t xml:space="preserve">                                                                        The Q hotel Ha Noi ( Superior )                                                                             </t>
  </si>
  <si>
    <t xml:space="preserve">GRAND VISTA HANOI HOTEL (Premium Suite)
</t>
  </si>
  <si>
    <t xml:space="preserve">BRILLIANT  HANOI HOTEL (Deluxe No window)                                                                                            
</t>
  </si>
  <si>
    <t>PRICE</t>
  </si>
  <si>
    <t xml:space="preserve">The Q hotel Ha Noi ( Deluxe ) </t>
  </si>
  <si>
    <t xml:space="preserve"> GRAND VISTA HANOI HOTEL (Executive Suite)</t>
  </si>
  <si>
    <t xml:space="preserve">BRILLIANT  HANOI HOTEL (Junior Window City View)                                                                                                       
</t>
  </si>
  <si>
    <t xml:space="preserve"> Rex Hanoi Hotel (superior No window  )                                                                                                               
                                                                                                   </t>
  </si>
  <si>
    <t xml:space="preserve">Apricot Hotel  ( SKETCH Room ) </t>
  </si>
  <si>
    <t>HANOI ANISE HOTEL &amp; SPA  (Superior TW/DBL)</t>
  </si>
  <si>
    <t xml:space="preserve"> Rex Hanoi Hotel (Deluxe internal window)                                                                                                               
</t>
  </si>
  <si>
    <t xml:space="preserve"> Apricot Hotel (CANVAS Room)</t>
  </si>
  <si>
    <t xml:space="preserve"> HANOI ANISE HOTEL &amp; SPA    ( Deluxe City View TW/DBL)</t>
  </si>
  <si>
    <t>NESTA HOTEL - WEST LAKE (Deluxe City View )</t>
  </si>
  <si>
    <t>PAN PACIFIC HANOI (Deluxe Room)</t>
  </si>
  <si>
    <t xml:space="preserve">DIAMOND LEGEND HOTEL (Superior Room window inside) </t>
  </si>
  <si>
    <t xml:space="preserve">  NESTA HOTEL - WEST LAKE (Deluxe Lake View)</t>
  </si>
  <si>
    <t>PAN PACIFIC HANOI (Premier Lake View Room)</t>
  </si>
  <si>
    <t>DIAMOND LEGEND HOTEL (Deluxe Room Window or Balcony)</t>
  </si>
  <si>
    <t xml:space="preserve">      VICTORIA HOI AN BEACH RESORT &amp; SPA  ( Superior River View)</t>
  </si>
  <si>
    <t xml:space="preserve">LOTTE HOTEL ( Deluxe Room ) </t>
  </si>
  <si>
    <t>Little Diamond Hotel Hanoi ( Superior Double no window)</t>
  </si>
  <si>
    <t>NESTA HOTEL - WEST LAKE (Deluxe City View *)</t>
  </si>
  <si>
    <t xml:space="preserve"> VICTORIA HOI AN BEACH RESORT &amp; SPA  ( Superior Garden View) </t>
  </si>
  <si>
    <t xml:space="preserve">LOTTE HOTEL ( Club Junior Suite) </t>
  </si>
  <si>
    <t xml:space="preserve"> Little Diamond Hotel Hanoi (Junior Double window inside)</t>
  </si>
  <si>
    <t xml:space="preserve">Authentic Hanoi Boutique Hotel  (Deluxe 
No window)                                                                                               
</t>
  </si>
  <si>
    <t xml:space="preserve">Dolce by Wyndham Hanoi Golden Lake ( Golden Deluxe) </t>
  </si>
  <si>
    <t>JaCosmo Hotel and Spa (Superior room)</t>
  </si>
  <si>
    <t xml:space="preserve"> Dolce by Wyndham Hanoi Golden Lake (Golden Executive) </t>
  </si>
  <si>
    <t xml:space="preserve">                        JaCosmo Hotel and Spa (Deluxe room)</t>
  </si>
  <si>
    <t xml:space="preserve">Authentic Hanoi Boutique Hotel (Deluxe with window external view) 
                                                                                         </t>
  </si>
  <si>
    <t xml:space="preserve">OAKWOOD RESIDENCE HANOI ( Studio Room) </t>
  </si>
  <si>
    <t>The Hanoi Club Hotel &amp; Residences     (Superior (view phố)</t>
  </si>
  <si>
    <t xml:space="preserve">OAKWOOD RESIDENCE HANOI (Two Bed Room) </t>
  </si>
  <si>
    <t>The Hanoi Club Hotel &amp; Residences  ( Deluxe (view 1 phần hồ)</t>
  </si>
  <si>
    <t xml:space="preserve">ERA CRUISES ( Terrace Suite ) </t>
  </si>
  <si>
    <t>ERA CRUISES (King Terrace Suite)</t>
  </si>
  <si>
    <t xml:space="preserve"> HẠ LONG BAY AQUAMARINE CRUISE   (Junior Suite)</t>
  </si>
  <si>
    <t xml:space="preserve"> HẠ LONG BAY AQUAMARINE CRUISE ( Senior Suite)</t>
  </si>
  <si>
    <t xml:space="preserve">AMBASSADOR CRUISE  (Executive Ambassador Balcony) </t>
  </si>
  <si>
    <t xml:space="preserve">AMBASSADOR CRUISE (Ambassador Balcony Suite) </t>
  </si>
  <si>
    <t xml:space="preserve">LA PANDORA CRUISE ( Suite Balcony) </t>
  </si>
  <si>
    <t xml:space="preserve">LA PANDORA CRUISE ( Family Suite Balcony)  </t>
  </si>
  <si>
    <t>ALISA PREMIER CRUISE   ( Junior suite)</t>
  </si>
  <si>
    <t xml:space="preserve">ALISA PREMIER CRUISE   (Senior Balcony Suite) </t>
  </si>
  <si>
    <t>AQUAMARINE CRUISE (Junior Suite)</t>
  </si>
  <si>
    <t>AQUAMARINE CRUISE (Senior Suite)</t>
  </si>
  <si>
    <t xml:space="preserve">SWAN CRUISES  ( Deluxe Double/Twin) </t>
  </si>
  <si>
    <t xml:space="preserve">SWAN CRUISES  (Suite Cabins) </t>
  </si>
  <si>
    <t xml:space="preserve">SENA CRUISE ( Balcony Deluxe ) </t>
  </si>
  <si>
    <t>RITA CRUISE (STANDARD CABIN)</t>
  </si>
  <si>
    <t>RITA CRUISE (JUNIOR SUITE)</t>
  </si>
  <si>
    <t>LE JOURNEY CRUISE</t>
  </si>
  <si>
    <t xml:space="preserve">SENA CRUISE ( Balcony Executive ) </t>
  </si>
  <si>
    <t xml:space="preserve"> GRAND VISTA HANOI HOTEL (DELUXE ROOM)</t>
  </si>
  <si>
    <t>HERA CLASSIC BOUTIQUE (Deluxe Cabin
with Ocean View)</t>
  </si>
  <si>
    <t>HERA CLASSIC BOUTIQUE (Executive Suite Cabin with private balcony)</t>
  </si>
  <si>
    <t>HERA GRAND LUXURY CRUISE (Junior Suite Cabin with Ocean View)</t>
  </si>
  <si>
    <t>HERA GRAND LUXURY CRUISE (Ocean Suite Cabin with private balcony)</t>
  </si>
  <si>
    <t>HERA BOUTIQUE (Deluxe Cabin with Ocean View)</t>
  </si>
  <si>
    <t xml:space="preserve">HERA BOUTIQUE (Executive Suite Cabin
with private balcony)
</t>
  </si>
  <si>
    <t>VERDURE LOTUS CLASSIC (Deluxe Room)</t>
  </si>
  <si>
    <t>VERDURE LOTUS CLASSIC (Executive Room)</t>
  </si>
  <si>
    <t xml:space="preserve"> VERDURE LOTUS LUXURY (Deluxe Room)</t>
  </si>
  <si>
    <t xml:space="preserve"> VERDURE LOTUS LUXURY (Executive Room)</t>
  </si>
  <si>
    <t>VERDURE LOTUS Premium CRUISE ( Deluxe Room )</t>
  </si>
  <si>
    <t>VERDURE LOTUS Premium CRUISE (Executive Room)</t>
  </si>
  <si>
    <t>LA REGINA CLASSIC  (Deluxe Ocean View )</t>
  </si>
  <si>
    <t>LA REGINA CLASSIC  (Premium Ocean View)</t>
  </si>
  <si>
    <t>LA REGINA  GRAND  (Bai Tu Long Suite )</t>
  </si>
  <si>
    <t>LA REGINA GRAND  (Ha Long Suite )</t>
  </si>
  <si>
    <t xml:space="preserve">LA REGINA LEGEND CRUISE (Princess Suite Doulbe/ Twin) </t>
  </si>
  <si>
    <t>LA REGINA LEGEND CRUISE (Princess Premium Suite Doulbe/ Twin )</t>
  </si>
  <si>
    <t>LA REGINA ROYAL (Noble Suite Double/ Twin)</t>
  </si>
  <si>
    <t>LA REGINA ROYAL (Imperial Suite Double/ Twin)</t>
  </si>
  <si>
    <t xml:space="preserve">DELASEA HALONG ( Deluxe City View ) </t>
  </si>
  <si>
    <t xml:space="preserve">DELASEA HALONG ( Deluxe Ocean View ) </t>
  </si>
  <si>
    <t>Le Theatre Cruises ( Junior Suite)</t>
  </si>
  <si>
    <t>Le Theatre Cruises ( Executive Suite)</t>
  </si>
  <si>
    <t xml:space="preserve">Oriental Sails! ( Deluxe Room ) </t>
  </si>
  <si>
    <t>Oriental Sails! ( Deluxe Balcony)</t>
  </si>
  <si>
    <t xml:space="preserve">SCARLET PEARL ( Silver Pearl) </t>
  </si>
  <si>
    <t xml:space="preserve">SCARLET PEARL ( Golden Pearl) </t>
  </si>
  <si>
    <t xml:space="preserve">PELICAN GLORY GROUP   ( Deluxe Room)  </t>
  </si>
  <si>
    <t xml:space="preserve">PELICAN GLORY GROUP   (Royal Suite)  </t>
  </si>
  <si>
    <t>PARADISE GRAND CRUISE (Grand Balcony)</t>
  </si>
  <si>
    <t>PARADISE GRAND CRUISE (Executive Grand Balcony)</t>
  </si>
  <si>
    <t>Novotel Ha Long ( Standard Room)</t>
  </si>
  <si>
    <t>Novotel Ha Long ( Superior Room)</t>
  </si>
  <si>
    <t xml:space="preserve">ATHENA LUXURY CRUISE  ( EXECUTIVE Suite ) </t>
  </si>
  <si>
    <t>ATHENA LUXURY CRUISE ( (ELEGANT Suite)</t>
  </si>
  <si>
    <t>ATHENA ROYAL CRUISE (EXECUTIVE ROYAL
Suite)</t>
  </si>
  <si>
    <t>ATHENA ROYAL CRUISE (ELEGANT ROYAL Suite)</t>
  </si>
  <si>
    <t>SIGNATURE HALONG CRUISE (JUNIOR SUITE)</t>
  </si>
  <si>
    <t>SIGNATURE HALONG CRUISE (SENIOR SUITE)</t>
  </si>
  <si>
    <t>SIGNATURE ROYAL CRUISE (JUNIOR SUITE)</t>
  </si>
  <si>
    <t>SIGNATURE ROYAL CRUISE (SENIOR SUITE
)</t>
  </si>
  <si>
    <t xml:space="preserve">DORA LUXURY CRUISE (Junior Suite) </t>
  </si>
  <si>
    <t xml:space="preserve">  DORA LUXURY CRUISE (Senior Suite) </t>
  </si>
  <si>
    <t>Bai Tho Junks!  ( Deluxe Ocean View)</t>
  </si>
  <si>
    <t>Bai Tho Junks!  ( Suite Ocean View Balcony)</t>
  </si>
  <si>
    <t>GOLDEN CRUISE (LUXURY)</t>
  </si>
  <si>
    <t>GOLDEN CRUISE (SUITE)</t>
  </si>
  <si>
    <t xml:space="preserve">A la carte halong bay hotel (Premier City View) </t>
  </si>
  <si>
    <t>A la carte halong bay hotel (Executive Bay View
)</t>
  </si>
  <si>
    <t>Hotel Sol Hạ Long  ( Premier Suite )</t>
  </si>
  <si>
    <t>Hotel Sol Hạ Long  ( Junior Suite )</t>
  </si>
  <si>
    <t>NOSTALGIA  CRUISE (Princess Suite)</t>
  </si>
  <si>
    <t>NOSTALGIA  CRUISE (King Suite)</t>
  </si>
  <si>
    <t xml:space="preserve">Amanda cruise  (Deluxe Cabin with Ocean View)                                                                                                                                                                                        
</t>
  </si>
  <si>
    <t xml:space="preserve">Amanda cruise ( Junior Suite Cabin with Ocean View)
</t>
  </si>
  <si>
    <t>OMKARA DIAMOND DAY  CRUISE ( Deluxe Cabin with Veg Meals )</t>
  </si>
  <si>
    <t>OMKARA DIAMOND DAY  CRUISE ( Deluxe Cabin with Veg &amp; Non Veg Combo Meals )</t>
  </si>
  <si>
    <t>DANANG</t>
  </si>
  <si>
    <t xml:space="preserve">The Leaf Boutique Hotel ( Deluxe City View (4) ) </t>
  </si>
  <si>
    <t xml:space="preserve">The Leaf Boutique Hotel ( Superior Triple No View) </t>
  </si>
  <si>
    <t>4 STAR</t>
  </si>
  <si>
    <t>Daisy Boutique Hotel &amp; Apartment ( Deluxe Double Room with Balcony and Garden View)</t>
  </si>
  <si>
    <t xml:space="preserve">GOLDEN LOTUS GRAND HOTEL ( DELUXE DBL ROOM ) </t>
  </si>
  <si>
    <t xml:space="preserve">STELLA MARIS BEACH DANANG ( SUPERIOR) </t>
  </si>
  <si>
    <t>Daisy Boutique Hotel &amp; Apartment (Studio Double Room with Garden View)</t>
  </si>
  <si>
    <t xml:space="preserve">GOLDEN LOTUS GRAND HOTEL ( PREMIUM TRIPLE ROOM ) </t>
  </si>
  <si>
    <t xml:space="preserve"> STELLA MARIS BEACH DANANG ( DELUXE PARTIAL SEAVIEW) </t>
  </si>
  <si>
    <t>FOUR POINTS BY SHERATON DANANG (Superior King Ocean View)</t>
  </si>
  <si>
    <t>Royal Family Hotel Da Nang ( Superior Double/Twin/2pax)</t>
  </si>
  <si>
    <t xml:space="preserve">GOLDEN LOTUS  LUXURY HOTEL ( Lotus Deluxe ) </t>
  </si>
  <si>
    <t>FOUR POINTS BY SHERATON DANANG ( Deluxe King Ocean View )</t>
  </si>
  <si>
    <t>Royal Family Hotel Da Nang ( Deluxe Double/Twin/2pax</t>
  </si>
  <si>
    <t xml:space="preserve">GOLDEN LOTUS  LUXURY HOTEL ( Junior Suite ) </t>
  </si>
  <si>
    <t xml:space="preserve">Eden Ocean View Đà Nẵng ( Classic Double ) </t>
  </si>
  <si>
    <t xml:space="preserve">THE CODE HOTEL &amp; SPA DA NANG ( Superior) </t>
  </si>
  <si>
    <t xml:space="preserve">Eden Ocean View Đà Nẵng ( Premium Sea View ) </t>
  </si>
  <si>
    <t>Ho Chi Minh</t>
  </si>
  <si>
    <t xml:space="preserve">THE CODE HOTEL &amp; SPA DA NANG ( Deluxe City view) </t>
  </si>
  <si>
    <t>TIA Wellness Resort (One Bedroom Pool Villa)</t>
  </si>
  <si>
    <t xml:space="preserve">             3 STAR </t>
  </si>
  <si>
    <t xml:space="preserve">DRACO HOTEL &amp; SUITES DANANG (Superior Room) </t>
  </si>
  <si>
    <t>TIA Wellness Resort (Two Bedroom Pool Villa)</t>
  </si>
  <si>
    <t xml:space="preserve">DRACO HOTEL &amp; SUITES DANANG (Deluxe City View) </t>
  </si>
  <si>
    <t>Altara Suites ( BLISS, PEACE SUITE (01 bedroom)</t>
  </si>
  <si>
    <t xml:space="preserve">Avanti Boutique Hotel ( Superior no window ) </t>
  </si>
  <si>
    <t xml:space="preserve">Cicilia Danang Hotels &amp; Spa ( Deluxe City View ) </t>
  </si>
  <si>
    <t>Altara Suites ( HARMONY SUITE (02 bedrooms)</t>
  </si>
  <si>
    <t xml:space="preserve">Avanti Boutique Hotel ( Deluxe have window ) </t>
  </si>
  <si>
    <t xml:space="preserve">Cicilia Danang Hotels &amp; Spa (Junior Suite Ocean View ) </t>
  </si>
  <si>
    <t xml:space="preserve">Queen Ann Hotel Sai Gon ( Deluxe With  Window ) </t>
  </si>
  <si>
    <t>Ho chi minh</t>
  </si>
  <si>
    <t xml:space="preserve">Queen Ann Hotel Sai Gon ( Premier With Window  ) </t>
  </si>
  <si>
    <t xml:space="preserve">Aluna Ben Thanh Hotel ( Schroeder (Window) ) </t>
  </si>
  <si>
    <t xml:space="preserve">4 STAR </t>
  </si>
  <si>
    <t xml:space="preserve">REX SAIGON HO CHI MINH ( Rex Suite)  </t>
  </si>
  <si>
    <t>Aluna Ben Thanh Hotel  ( Premier(Window)</t>
  </si>
  <si>
    <t>Paragon Saigon Hotel ( Deluxe Window
(Queen-bed, Twin-bed)</t>
  </si>
  <si>
    <t xml:space="preserve">REX SAIGON HO CHI MINH (Executive Premium) </t>
  </si>
  <si>
    <t>Dai Nam Boutique Hotel ( DELUXE ) SGL/DBL</t>
  </si>
  <si>
    <t xml:space="preserve">Paragon Saigon Hotel  ( Premier window Sakura) </t>
  </si>
  <si>
    <t>Eastin Grand Hotel Saigon ( Superior Deluxe  Single/Double)</t>
  </si>
  <si>
    <t>Dai Nam Boutique Hotel (EXECUTIVE ) SGL/DBL</t>
  </si>
  <si>
    <t xml:space="preserve">First Hotel (  Deluxe (30 m2) </t>
  </si>
  <si>
    <t>Eastin Grand Hotel Saigon ( Deluxe Single/Double )</t>
  </si>
  <si>
    <t xml:space="preserve">First Hotel (Superior 20 m2)) </t>
  </si>
  <si>
    <t xml:space="preserve">  Roseland Sweet Hotel &amp; Spa! DELUXE NO WINDOW (Double)
</t>
  </si>
  <si>
    <t>Phu Quoc</t>
  </si>
  <si>
    <t xml:space="preserve">Royal Hotel Saigon ( DELUXE ) </t>
  </si>
  <si>
    <t xml:space="preserve">Roseland Sweet Hotel &amp; Spa ( PREMIUM DELUXE ) </t>
  </si>
  <si>
    <t xml:space="preserve">Royal Hotel Saigon (SUPER DELUXE ) </t>
  </si>
  <si>
    <t xml:space="preserve">Oakwood Residence Saigon! ( Studio Apartment (45 sqm) </t>
  </si>
  <si>
    <t>Gaia Hotel Phu Quoc ( Standard ocean view Double/Twin)</t>
  </si>
  <si>
    <t xml:space="preserve">Oakwood Residence Saigon!  ( 01 Bed-room Apartment (51sqm) </t>
  </si>
  <si>
    <t>Gaia Hotel Phu Quoc ( Deluxe ocean view Double có Ban Công</t>
  </si>
  <si>
    <t xml:space="preserve">Saigon Domaine Luxury Residences ( 1-Bedroom Suite ) </t>
  </si>
  <si>
    <t>Equatorial Ho Chi Minh City ( Deluxe )</t>
  </si>
  <si>
    <t>Somerset CHANCELLOR COURT HO CHI MINH CITY (Executive  Room)</t>
  </si>
  <si>
    <t>Equatorial Ho Chi Minh City ( Premier )</t>
  </si>
  <si>
    <t>Hoi AN</t>
  </si>
  <si>
    <t>Somerset CHANCELLOR COURT HO CHI MINH CITY ( Premier  Room )</t>
  </si>
  <si>
    <t>Ramada Encore By Wyndham Sai Gon Junior Deluxe</t>
  </si>
  <si>
    <t>Eco Lux Riverside Hotel &amp; Spa Hoi An ( Superior room with balcony/window (D/T)</t>
  </si>
  <si>
    <t>Ramada Encore By Wyndham Sai Gon Premium Deluxe</t>
  </si>
  <si>
    <t xml:space="preserve">Eco Lux Riverside Hotel &amp; Spa Hoi An  (Royal Honeymoon Suite with balcony (D)            </t>
  </si>
  <si>
    <t>Best Western Premier Sonasea Phu Quoc ( Deluxe King or Twin with Balcony)</t>
  </si>
  <si>
    <t xml:space="preserve">KIMAN HOTEL ( 
Deluxe Garden View)
</t>
  </si>
  <si>
    <t xml:space="preserve">Best Western Premier Sonasea Phu Quoc  ( Premier Deluxe King or Twin with Seaview) </t>
  </si>
  <si>
    <t xml:space="preserve">KIMAN HOTEL ( Deluxe City View)
</t>
  </si>
  <si>
    <t>Meliã Vinpearl Phu Quoc ( 1-Bedroom villa lake view with private pool)</t>
  </si>
  <si>
    <t xml:space="preserve">Sea Sense Resort ( Deluxe Garden View ) </t>
  </si>
  <si>
    <t>Meliã Vinpearl Phu Quoc (2-Bedroom villa lake view with private pool)</t>
  </si>
  <si>
    <t>SAPA</t>
  </si>
  <si>
    <t xml:space="preserve">Sea Sense Resort ( Sea View Villa ) </t>
  </si>
  <si>
    <t>Sheraton Phu Quoc Long Beach Resort! ( Standard with Ocean View)</t>
  </si>
  <si>
    <t>Cassia Cottage Resort &amp; Spa (GARDEN COTTAGE)</t>
  </si>
  <si>
    <t>Sheraton Phu Quoc Long Beach Resort!  ( Premium with Ocean View)</t>
  </si>
  <si>
    <t>Sapa Horizon Hotel ( Superior room with balcony (Street, City view)</t>
  </si>
  <si>
    <t>Cassia Cottage Resort &amp; Spa ( MODERN DELUXE)</t>
  </si>
  <si>
    <t>Ocean Bay Resort &amp; Spa Phu Quoc ( Jungle Bungalow)</t>
  </si>
  <si>
    <t>Sapa Horizon Hotel (Deluxe room with balcony )</t>
  </si>
  <si>
    <t>Famiana Resort &amp; Spa Phu Quoc ( Deluxe Garden view)</t>
  </si>
  <si>
    <t>Ocean Bay Resort &amp; Spa Phu Quoc ( Ocean Breeze Bungalow)</t>
  </si>
  <si>
    <t>Famiana Resort &amp; Spa Phu Quoc (Premium Deluxe Garden View)</t>
  </si>
  <si>
    <t>Muong Thanh Luxury Phu Quoc Hotel ( Deluxe King/Twin)</t>
  </si>
  <si>
    <t>Green Bay Phu Quoc Resort &amp; Spa(Garden Villa 1-Bedroom)</t>
  </si>
  <si>
    <t>Muong Thanh Luxury Phu Quoc Hotel (Deluxe Triple)</t>
  </si>
  <si>
    <t xml:space="preserve">Green Bay Phu Quoc Resort &amp; Spa ( Family Villa ) </t>
  </si>
  <si>
    <t>THIÊN THANH PHÚ QUỐC RESORT(Deluxe City View)</t>
  </si>
  <si>
    <t>Sol by Meliá Phu Quoc ( Standard Room)</t>
  </si>
  <si>
    <t>THIÊN THANH PHÚ QUỐC RESORT ( Deluxe Garden View)</t>
  </si>
  <si>
    <t>Sol by Meliá Phu Quoc ( Superior Room)</t>
  </si>
  <si>
    <t>Hoi An</t>
  </si>
  <si>
    <t xml:space="preserve">Meliá Vinpearl Quang Binh ( DELUXE CITY VIEW ) </t>
  </si>
  <si>
    <t>Hoian Nostalgia Hotel &amp; Spa  (Historical Double/Twin (Window)</t>
  </si>
  <si>
    <t xml:space="preserve">Meliá Vinpearl Quang Binh ( DELUXE RIVER  VIEW) </t>
  </si>
  <si>
    <t xml:space="preserve">Hoian Nostalgia Hotel &amp; Spa (Ancient Double/Twin (Window)                                              </t>
  </si>
  <si>
    <t>Cozy Savvy Boutique Hotel Hoi An (Cozy Deluxe Double)</t>
  </si>
  <si>
    <t>ANANTARA HOI AN RESORT ( Deluxe Balcony Room)</t>
  </si>
  <si>
    <t>Cozy Savvy Boutique Hotel Hoi An ( Cozy Deluxe Twin)</t>
  </si>
  <si>
    <t xml:space="preserve">ANANTARA HOI AN RESORT ( Deluxe Garden View Suite) </t>
  </si>
  <si>
    <t>Bliss Hoi An Beach Resort &amp; Wellness  ( Deluxe room)</t>
  </si>
  <si>
    <t>VICTORIA HOI AN BEACH RESORT &amp; SPA ( Superior River View)</t>
  </si>
  <si>
    <t>Bliss Hoi An Beach Resort &amp; Wellness ( Ocean Deluxe room)</t>
  </si>
  <si>
    <t>VICTORIA HOI AN BEACH RESORT &amp; SPA     ( Deluxe)</t>
  </si>
  <si>
    <t>VINPEARL RESORT &amp; GOLF NAM HOI AN ( DELUXE)</t>
  </si>
  <si>
    <t xml:space="preserve">Hoi An Rosemary Boutique Hotel &amp; Spa ( RosemaryDeluxe (Balcony/Garden or Pool view)
</t>
  </si>
  <si>
    <t>VINPEARL RESORT &amp; GOLF NAM HOI AN ( DELUXE OCEAN VIEW )</t>
  </si>
  <si>
    <t xml:space="preserve">Hoi An Rosemary Boutique Hotel &amp; Spa ( Rosemary Triple Deluxe (Balcony/Garden or Pool view)
</t>
  </si>
  <si>
    <t>Silk Sense Hoi An River Resort ( 1-Superior
Garden View)</t>
  </si>
  <si>
    <t xml:space="preserve">Boutique Hoi An Resort ( Superior (Single|Double ) </t>
  </si>
  <si>
    <t>Silk Sense Hoi An River Resort ( Deluxe
Private Garden View</t>
  </si>
  <si>
    <t xml:space="preserve">Boutique Hoi An Resort ( Deluxe (Single Double ) </t>
  </si>
  <si>
    <t>Silk Path Grand Sapa Resort &amp; Spa (Balcony Classic Garden)</t>
  </si>
  <si>
    <t>Pistachio Hotel Sapa ( Superior City view)</t>
  </si>
  <si>
    <t>Silk Path Grand Sapa Resort &amp; Spa (Balcony Classic Mountain)</t>
  </si>
  <si>
    <t xml:space="preserve">Pistachio Hotel Sapa    ( Superior
Mountain View ) </t>
  </si>
  <si>
    <t>KK Sapa Hotel ( Superior / Sun-Thurs)</t>
  </si>
  <si>
    <t xml:space="preserve">BB Sapa Resort &amp; Spa ( Superior) </t>
  </si>
  <si>
    <t>KK Sapa Hotel ( Superior / Fri-Sat)</t>
  </si>
  <si>
    <t xml:space="preserve">   BB Sapa Resort &amp; Spa (Deluxe)</t>
  </si>
  <si>
    <t>KK Sapa Hotel (Deluxe / Sun-Thurs)</t>
  </si>
  <si>
    <t>ALIANA Boutique Sapa Hotel &amp; Spa ( Deluxe Balcony (Dbl/Twn)</t>
  </si>
  <si>
    <t>KK Sapa Hotel  ( Deluxe / Fri-Sat)</t>
  </si>
  <si>
    <t>ALIANA Boutique Sapa Hotel &amp; Spa ( Premier Deluxe Balcony (Dbl/Twn)</t>
  </si>
  <si>
    <t>Pao's Sapa Leisure Hotel (Deluxe Garden View)</t>
  </si>
  <si>
    <t>Amazing Hotel Sapa ( Superior (Twin/Double)</t>
  </si>
  <si>
    <t>Pao's Sapa Leisure Hotel ( Super Deluxe)</t>
  </si>
  <si>
    <t>Amazing Hotel Sapa (Deluxe (Twin/Double)</t>
  </si>
  <si>
    <t>Sapa Legend Hotel &amp; Spa ( Superior)</t>
  </si>
  <si>
    <t>Sapa Legend Hotel &amp; Spa (Deluxe)</t>
  </si>
  <si>
    <t>A25 HOTEEL SAPA ( Superior Double/ Twin) Window</t>
  </si>
  <si>
    <t>A25 HOTEEL SAPA ( Deluxe Double/ Twin) City view</t>
  </si>
  <si>
    <t>5 * HOTEL</t>
  </si>
  <si>
    <t>International</t>
  </si>
  <si>
    <t xml:space="preserve"> HANOI</t>
  </si>
  <si>
    <t>Hanoi Grand Plaza Hotel</t>
  </si>
  <si>
    <t>Grand Vista Hotel Hanoi</t>
  </si>
  <si>
    <t>Hanoi Airport – 4 Hour Hanoi City Tour with guide - hotel - Dinner At Indian Restaurant - Hanoi Hotel drop (D)</t>
  </si>
  <si>
    <t>apricot hotel hanoi</t>
  </si>
  <si>
    <t>Halong Bay Cruise Terminal Dock</t>
  </si>
  <si>
    <t>Hnaoi Hotel - 100km 2 hours -  Ninh Binh Tour  - Tam Coc - Dinner At Indian Restaurant - Hotel Drop (B,D)</t>
  </si>
  <si>
    <t>Paradise Grand Cruise</t>
  </si>
  <si>
    <t xml:space="preserve">Danang Airport EXIT GATE PARKING Car pickup point. </t>
  </si>
  <si>
    <t>Hanoi Hotel - 200 Km 4 hours drive - Halong bay- 11:30 AM need to reach at Halong bay for cruise depart (B,Local L, Local D)</t>
  </si>
  <si>
    <t>TMS Hotel Da Nang Beach</t>
  </si>
  <si>
    <t xml:space="preserve">Ho Chi Minh Airport ARRIVAL - T2 - PILLAR 10 GF </t>
  </si>
  <si>
    <t xml:space="preserve">Halong Bay - Hanoi 4 hour 200 km - Dinner At Indian Restaurant - Hanoi Hotel drop, (B,Local Br,D)                                                                            </t>
  </si>
  <si>
    <t>Four Points by Sheraton Danang</t>
  </si>
  <si>
    <t xml:space="preserve">Phu Quoc Airport EXIT GATE PARKING pickup point.  </t>
  </si>
  <si>
    <t>Hanoi Hotel - HCM Complex - Tran Quoc Pagoda - Old Town 15 Min Tour - Cho Dong Xuan Market - Old Town For Shopping - Dinner At Indian Restaurant - Hanoi hotel drop  (B,D)</t>
  </si>
  <si>
    <t xml:space="preserve"> </t>
  </si>
  <si>
    <t>Siem Reap Airport Arrival Hall</t>
  </si>
  <si>
    <t>Hanoi Hotel - 300KM 6 hour Sapa - Moana Sculpture - Cat Cat Village tour - Dinner At Indian Restaurant - Sapa Hotel Drop  (B,D)</t>
  </si>
  <si>
    <t>Equatorial Ho Chi Minh City</t>
  </si>
  <si>
    <t>Sapa Hotel -  Fansipan Mountain with guide - 300km 6 hour drive - Dinner At Indian Restaurant - Hanoi Hotel drop (B,D)</t>
  </si>
  <si>
    <t>Sol by Meliá Phu Quoc</t>
  </si>
  <si>
    <t>Domestic</t>
  </si>
  <si>
    <t xml:space="preserve">Hanoi Hotel - Hanoi Airport Drop, Flight to --- (B)   Vietjet Air VJ ---   --- Departure  </t>
  </si>
  <si>
    <t>4 * Hotels</t>
  </si>
  <si>
    <t xml:space="preserve">Hanoi Airport T1 - ARRIVAL - E2 Car pickup point. </t>
  </si>
  <si>
    <t>Rex Hanoi Hotel</t>
  </si>
  <si>
    <t xml:space="preserve">Danang Airport - Dinner At Indian Restaurant - Danang Hotel Drop (D)  </t>
  </si>
  <si>
    <t>Arrival Date :  January, 2024</t>
  </si>
  <si>
    <t>Nesta West Lake Hotel Hanoi</t>
  </si>
  <si>
    <t xml:space="preserve">Danang Airport T1 ARRIVAL PILLAR 4,5 Car pickup point. </t>
  </si>
  <si>
    <t>Danang hotel - Ba Na Hills with guide - Dinner At Indian Restaurant - Danang hotel (B,D)</t>
  </si>
  <si>
    <t>Arrival Date :  February, 2024</t>
  </si>
  <si>
    <t>Le Journey Luxury Cruise</t>
  </si>
  <si>
    <t>Ho Chi Minh Airport T1 - ARRIVAL - A1</t>
  </si>
  <si>
    <t>Danang hotel - Marble Mountain - Hoi An Ancient Town - Japanese Covered Bridge - Dinner At Indian Restaurant - Hotel Drop  (B,D)</t>
  </si>
  <si>
    <t>Arrival Date :  March, 2024</t>
  </si>
  <si>
    <t>Hera Cruise</t>
  </si>
  <si>
    <t xml:space="preserve">Danang hotel -  Coconut Village with guide - Basket Boat Ride - Hoi An Ancient Town Tour - Lantern Release On The River - Dinner At Indian Restaurant - Danang hotel Drop, 8:30 PM (B,D)     </t>
  </si>
  <si>
    <t>Arrival Date :  April, 2024</t>
  </si>
  <si>
    <t>Stella Maris Beach Danang Hotel</t>
  </si>
  <si>
    <t>Danang Hotel - Danang Airport Drop, Flight to ----   (B)    Vietjet Air VJ ---   --- Departure</t>
  </si>
  <si>
    <t>Arrival Date :  May, 2024</t>
  </si>
  <si>
    <t>Golden Lotus Luxury Hotel Da Nang</t>
  </si>
  <si>
    <t>Arrival Date :  June, 2024</t>
  </si>
  <si>
    <t>Bay Hotel Ho Chi Minh</t>
  </si>
  <si>
    <t>HO CHI MINH</t>
  </si>
  <si>
    <t>Arrival Date :  July, 2024</t>
  </si>
  <si>
    <t>ramada encore ho chi minh</t>
  </si>
  <si>
    <t>Ho Chi Minh Airport - Dinner At Indian Restaurant - Ho Chi Minh Hotel Drop (D)</t>
  </si>
  <si>
    <t>Arrival Date :  August, 2024</t>
  </si>
  <si>
    <t>vinpearl resort and spa</t>
  </si>
  <si>
    <t>Ho Chi Minh Hotel - HCM city tour - Lunch Transfer - Notre Dame Cathedral, General Post Office, The city hall, Opera House - Reunification Hall - War Remnants Museum - Hop on Hop off city tour - Dinner At Indian Restaurant - Hotel Drop (B,D)</t>
  </si>
  <si>
    <t>Arrival Date :  September, 2024</t>
  </si>
  <si>
    <t>Ho Chi Minh Hotel - Mekong Delta (My Tho) with guide - Dinner At Indian Restaurant -  HCM hotel drop (B,D)</t>
  </si>
  <si>
    <t>Arrival Date :  October, 2024</t>
  </si>
  <si>
    <t>3 * Hotels</t>
  </si>
  <si>
    <t>HCM Hotel -  Cu Chi Tunnel Tour with guide - Dinner At Indian Restaurant -  hotel drop (B,D)</t>
  </si>
  <si>
    <t>Arrival Date :  November, 2024</t>
  </si>
  <si>
    <t>Diamond Legend Hotel</t>
  </si>
  <si>
    <t xml:space="preserve">HCM Hotel - HCM Airport Drop, Flight to ----  (B)    Vietjet Air VJ ---   --- Departure </t>
  </si>
  <si>
    <t>Arrival Date :  December, 2024</t>
  </si>
  <si>
    <t>Le Journey Classic Cruise</t>
  </si>
  <si>
    <t>Golden Lotus Grand Hotel</t>
  </si>
  <si>
    <t>PHU QUOC</t>
  </si>
  <si>
    <t>Departure Date :  January, 2024</t>
  </si>
  <si>
    <t>Ben Thanh Boutique Hotel</t>
  </si>
  <si>
    <t xml:space="preserve">Phu Quoc Airport - Dinner At Indian Restaurant - Phu Quoc Hotel Drop (D) </t>
  </si>
  <si>
    <t>Departure Date :  February, 2024</t>
  </si>
  <si>
    <t>Resort Arcadia Phú Quốc</t>
  </si>
  <si>
    <t>Phu Quoc Hotel - Vin Pearl Safari &amp; Vin Wonders - 6 Theme park - Dinner At Indian Restaurant -  Hotel Drop (B,D)</t>
  </si>
  <si>
    <t>Departure Date :  March, 2024</t>
  </si>
  <si>
    <t>Phu Quoc Hotel - Full Day - 3 Island tour in south by speedboat - Dinner At Indian Restaurant - Late Noon return hotel drop (B,D)</t>
  </si>
  <si>
    <t>Departure Date :  April, 2024</t>
  </si>
  <si>
    <t xml:space="preserve">Transport : 4 Seater Private Car           </t>
  </si>
  <si>
    <t>Phu Quoc Hotel - Phu Quoc Airport Drop, Flight to ---  (B)   Vietjet Air VJ ---   --- Departure</t>
  </si>
  <si>
    <t>Departure Date :  May, 2024</t>
  </si>
  <si>
    <t>Departure Date :  June, 2024</t>
  </si>
  <si>
    <t xml:space="preserve">Transport : 16 Seater Private Car   </t>
  </si>
  <si>
    <t>SIEM REAP</t>
  </si>
  <si>
    <t>Departure Date :  July, 2024</t>
  </si>
  <si>
    <t xml:space="preserve">Transport : 29 Seater Private Car   </t>
  </si>
  <si>
    <t>Siem Reap Airport - Hotel - Apsara Dance Show Dinner At  Restaurant - Siem Reap Hotel Drop (D)</t>
  </si>
  <si>
    <t>Departure Date :  August, 2024</t>
  </si>
  <si>
    <t xml:space="preserve">Transport : 45 Seater Private Car   </t>
  </si>
  <si>
    <t>Siem Reap Hotel - Angkor Temple tour with guide - Dinner At Indian Restaurant - Hotel Drop (B,D)</t>
  </si>
  <si>
    <t>Departure Date :  September, 2024</t>
  </si>
  <si>
    <t>Siem Reap Hotel - Floating village with guide - Dinner At Indian Restaurant - Hotel Drop (B,D)</t>
  </si>
  <si>
    <t>Departure Date :  October, 2024</t>
  </si>
  <si>
    <t>Siem Reap Hotel - Siem Reap Airport Drop (B)</t>
  </si>
  <si>
    <t>Departure Date :  November, 2024</t>
  </si>
  <si>
    <t>Departure Date :  December, 2024</t>
  </si>
  <si>
    <t xml:space="preserve">      PHNOM PENH</t>
  </si>
  <si>
    <t>Siem Reap Hotel - Drive By Car - Dinner At Indian Restaurant - Phnom Penh Hotel Drop (B,D)</t>
  </si>
  <si>
    <t>Phnom Penh Hotel - Royal Palace and Silver Pagoda with guide - National Museum and Tuol Sleng Museum - Choeung Ek - Market By Own - Dinner At Indian Restaurant - Hotel Drop (B,D)</t>
  </si>
  <si>
    <t>Phnom Penh Hotel - Phnom Penh Airport Drop (B)</t>
  </si>
  <si>
    <r>
      <rPr>
        <sz val="12"/>
        <color theme="1"/>
        <rFont val="Times New Roman"/>
        <family val="1"/>
      </rPr>
      <t>● ARRIVAL HANOI, VIETNAM</t>
    </r>
    <r>
      <rPr>
        <sz val="10"/>
        <color theme="1"/>
        <rFont val="Times New Roman"/>
        <family val="1"/>
      </rPr>
      <t xml:space="preserve">
♦ Arrive In Noi Bai International Airport.
♦ Our Private Car Will Pick You Up From The Airport And Head Towards The Hotel.
♦ Early Check-in is not included . Take Necessary Rest After Flight.
♦ Overnight stay in Hanoi.
</t>
    </r>
  </si>
  <si>
    <t xml:space="preserve">Hanoi Airport - Hanoi - 4 Hour Hanoi City Tour - Hanoi Hotel drop </t>
  </si>
  <si>
    <t>● ARRIVAL HANOI - HANOI CITY TOUR, VIETNAM
♦ Arrive In Noi Bai International Airport.
♦ Our Private Car Will Pick You Up From The Airport And Head Towards The Hotel.
♦ Early Check-in is not included. Take Necessary Rest After Flight
♦ Check Out The Old Street Quarter For Hanoi City Tour – Visit The Temple of  Literature, Vietnam’s first university, Hoan Kiem Lake &amp; Ly Thai Statue, HCM Complex: Ho Chi Minh Mausoleum, One pillar Pagoda, Ba Dinh Square.
♦ 4 Hours tour then Check in Hotel. 
♦ Overnight stay in Hanoi.</t>
  </si>
  <si>
    <t xml:space="preserve">Hanoi Airport - Hanoi - 4 Hour Hanoi City Tour - 50 Min Cyclo Tour - Hanoi Hotel Drop </t>
  </si>
  <si>
    <t xml:space="preserve">● ARRIVAL HANOI - HANOI CITY TOUR - 50 MIN CYCLO TOUR, VIETNAM                                             
♦ Arrive In Noi Bai International Airport.
♦ Our Private Car Will Pick You Up From The Airport And Head Towards The Hotel.
♦ Early Check-in is not included. Take Necessary Rest After Flight
♦ Check Out The Old Street Quarter For 4 hour Hanoi City Tour , 50 Min Cyclo Tour.
♦ After tour Check in Hotel. 
♦ Overnight stay in Hanoi.
</t>
  </si>
  <si>
    <t xml:space="preserve">Hanoi Airport - Hanoi - 4 Hour Hanoi City Tour - 50 Min Cyclo Tour - Water Puppet Show - Hanoi Hotel Drop </t>
  </si>
  <si>
    <t xml:space="preserve">● ARRIVAL HANOI - HANOI CITY TOUR - 50 MIN CYCLO TOUR - WATER PUPPET SHOW, VIETNAM
♦ Arrive In Noi Bai International Airport.
♦ Our Private Car Will Pick You Up From The Airport And Head Towards The Hotel.
♦ Early Check-in is not included. Take Necessary Rest After Flight
Check Out The Old Street Quarter For 4 hours Hanoi City Tour, 50 Min Cyclo Tour, Water Puppet Show.
♦ After tour Check in Hotel. 
♦ Overnight stay in Hanoi.
</t>
  </si>
  <si>
    <t xml:space="preserve">Hanoi Airport - Hanoi - 4 Hour Hanoi City Tour - Water Puppet Show - Hanoi Hotel Drop </t>
  </si>
  <si>
    <t xml:space="preserve">● ARRIVAL HANOI - HANOI CITY TOUR - WATER PUPPET SHOW, VIETNAM
♦ Arrive In Noi Bai International Airport.
♦ Our Private Car Will Pick You Up From The Airport And Head Towards The Hotel.
♦ Check Into The Hotel, Take Necessary Rest After Flight
Check Out The Old Street Quarter For 4 hour Hanoi City Tour, Water Puppet Show.
♦ After tour Check in Hotel. 
♦ Overnight stay in Hanoi.
</t>
  </si>
  <si>
    <t xml:space="preserve">● FULL DAY - HANOI CITY TOUR                                                                                                                                                                                                                                                                                                                                                                  ♦ After breakfast, at 08:30 in the morning, our tour guide will pick you up and start with you on your journey to Full Day Hanoi City Tour driving  per way for transfer.                                                                                                                       ♦ Visit Hanoi City Tour – Visit The Temple of Literature, Vietnam’s first university, Hoan Kiem Lake &amp; Ly Thai Statue, HCM Complex: Ho Chi Minh Mausoleum, One pillar Pagoda, Ba Dinh Square.
♦ Evening come back to hotel, Overnight Stay in Hanoi.
</t>
  </si>
  <si>
    <t>Hanoi Hotel - 4 Hours Hanoi City Tour - Hotel Drop</t>
  </si>
  <si>
    <t xml:space="preserve">● HALF DAY - HANOI CITY TOUR                                                                                                                                                                                                                                                                                                                                                                        ♦ After breakfast, at 08:30 in the morning, our tour guide will pick you up and start with you on your journey to Half day Hanoi City Tour driving  per way for transfer.                                                                                                                                      ♦ Visit Hanoi City Tour. 
♦ Evening come back to hotel, Free Time For Shopping. Overnight Stay in Hanoi.
</t>
  </si>
  <si>
    <t xml:space="preserve">Hanoi Airport - 100 KM 2 hours - Ninh Binh Tour - Tam Coc - Hotel Drop </t>
  </si>
  <si>
    <t xml:space="preserve">● FULL DAY – NINH BINH TOUR                                                                                                                                                                                                                                                                                                                                                                   ♦ (100 KM 2 hours Drive)
♦ Arrive In Noi Bai International Airport.
♦ Our Private Car Will Pick You Up From The Airport And Head Towards The Depart For Ninh Binh Province
♦ Have A Short Break For 15 _ 20 Minutes To Relax
♦ Visit Hoa Lu, Ancient Capital Of Vietnam Between 968 And 1010. You Have A Chance To Learn About Vietnamese History In The Feudal System Under Dinh, Le, And Ly Dynasty
♦ Visit Tam Coc By 1.5-hour Bamboo Boat. You Will Be Surprised By The Charming Beauty Here With Paddy Fields, River, Water, Cloud, Sky, And A Stunning Cave System During The Boat Trip. All Make A Masterpiece That The Vietnamese People Called Ha Long Bay On Land Continue The Tour For 45 Mins - Cycling Around The Village To Discover The Life Of The Local People.
♦ Get On Car To Return To Hanoi
♦ Get Dropped Off At Hotel In Hanoi
♦ Overnight In Hanoi
</t>
  </si>
  <si>
    <t xml:space="preserve">Hanoi Airport - 100 KM 2 hours - Ninh Binh Tour (With Lunch) - Tam Coc - Hotel Drop </t>
  </si>
  <si>
    <t xml:space="preserve">● FULL DAY – NINH BINH TOUR                                                                                                                                                                                                                                                                                                                                                                 ♦ (100 KM 2 hours Drive)                                                                                                                                                                                                                                                                                                                                                                                                                                       ♦ Arrive In Noi Bai International Airport.
♦ Get Picked Up By Our Friendly Driver Then Depart For Ninh Binh Province
Have A Short Break For 15 _ 20 Minutes To Relax
♦ Visit Hoa Lu, Ancient Capital Of Vietnam Between 968 And 1010. You Have A Chance To Learn About Vietnamese History In The Feudal System Under Dinh, Le, And Ly Dynasty
♦ Have A Buffet Lunch In The Restaurant With A Lot Of Local Foods Such As
Goat Meat, Fish, Chicken, And Fried Rice &amp;Vegetarian Foods Are Always Available In The Buffet Lunch
♦ Visit Tam Coc By 1.5-hour Bamboo Boat. You Will Be Surprised By The Charming Beauty Here With Paddy Fields, River, Water, Cloud, Sky, And A Stunning Cave System During The Boat Trip. All Make A Masterpiece That The Vietnamese People Called Ha Long Bay On Land
♦ Continue The Tour For 45 Mins - Cycling Around The Village To Discover The Life Of The Local People.
♦ Get On Car To Return To Hanoi
♦ Get Dropped Off At Hotel In Hanoi
♦ Overnight In Hanoi
</t>
  </si>
  <si>
    <t xml:space="preserve">Hanoi Hotel - 100 KM 2 hours - Ninh Binh Tour - Tam Coc - Hotel Drop </t>
  </si>
  <si>
    <t xml:space="preserve">● FULL DAY – NINH BINH TOUR                                                                                                                                                                                                                                                                                                                                                                ♦ (100 KM 2 hours Drive)
♦ Get Picked Up By Our Friendly Driver Then Depart For Ninh Binh Province
Have A Short Break For 15 _ 20 Minutes To Relax
♦ Visit Hoa Lu, Ancient Capital Of Vietnam Between 968 And 1010. You Have A Chance To Learn About Vietnamese History In The Feudal System Under Dinh, Le, And Ly Dynasty
♦ Visit Tam Coc By 1.5-hour Bamboo Boat. You Will Be Surprised By The Charming Beauty Here With Paddy Fields, River, Water, Cloud, Sky, And A Stunning Cave System During The Boat Trip. All Make A Masterpiece That The Vietnamese People Called Ha Long Bay On Land Continue The Tour For 45 Mins - Cycling Around The Village To Discover The Life Of The Local People.
♦ Get On Car To Return To Hanoi
♦ Get Dropped Off At Hotel In Hanoi
♦ Overnight In Hanoi
</t>
  </si>
  <si>
    <t xml:space="preserve">Hanoi Hotel - 100 KM 2 hours - Ninh Binh Tour (With Lunch ) - Tam Coc - Hotel Drop </t>
  </si>
  <si>
    <t xml:space="preserve">● FULL DAY – NINH BINH TOUR                                                                                                                                                                                                                                                                                                                                                                 ♦ (100 KM 2 hours Drive)
♦ Get Picked Up By Our Friendly Driver Then Depart For Ninh Binh Province
Have A Short Break For 15 _ 20 Minutes To Relax
♦ Visit Hoa Lu, Ancient Capital Of Vietnam Between 968 And 1010. You Have A Chance To Learn About Vietnamese History In The Feudal System Under Dinh, Le, And Ly Dynasty
♦ Have A Buffet Lunch In The Restaurant With A Lot Of Local Foods Such As
Goat Meat, Fish, Chicken, And Fried Rice &amp;Vegetarian Foods Are Always Available In The Buffet Lunch
♦ Visit Tam Coc By 1.5-hour Bamboo Boat. You Will Be Surprised By The Charming Beauty Here With Paddy Fields, River, Water, Cloud, Sky, And A Stunning Cave System During The Boat Trip. All Make A Masterpiece That The Vietnamese People Called Ha Long Bay On Land
♦ Continue The Tour For 45 Mins - Cycling Around The Village To Discover The Life Of The Local People.
♦ Get On Car To Return To Hanoi
♦ Get Dropped Off At Hotel In Hanoi
♦ Overnight In Hanoi
</t>
  </si>
  <si>
    <t xml:space="preserve">● HANOI ARRIVAL - CRUISE WITH TI TOP &amp; CAVE ROUTE– OVERNIGHT ON CRUISE  
♦ Arrive Hanoi Airport Transfer To Ha Long Bay. Spending 3.5 Hours On Car To See How Beautiful Landscape Of Red River Delta. Upon Arrival At The Harbor, Meet Our Cruise Crew To Join The Fantastic Journey Around The New Seven Wonder On Luxury Cruise. Welcome And Check-in To Cruise, Your Lunch Will Be Served While The Boat Slowly Slides On Romantic Waves Of The Sea. Afternoon Is Time For Many Interesting Activities Such As: Visiting The Cave, Kayaking, Swimming, Sunbathing, Cooking Class. Enjoy Special Dinner Dish And Continuing Night Program With The Crew.  
♦ Lunch And Dinner On Board.
♦ Overnight On Boat In Ha Long Bay.
♦ Please Note: The Program May Be Little Varied Upon The Cruise You Choose.
</t>
  </si>
  <si>
    <t xml:space="preserve">● HANOI – HALONG BAY. STAY OVERNIGHT ON CRUISE 
♦ Note: Shared Transfer Hanoi – Halong Bay 
♦ After Breakfast, 07:30 AM Sharp transfer to Halong Bay.  3.5 -4 hours per way 
♦ Check in time around 12.00.                                                                                                                                                                                                                                                                                                                                                                              ♦ Local lunch &amp; dinner on cruise,                                                                                                                                                                                                                                                                                                                                                                 ♦ Overnight On Boat In Ha Long Bay.
</t>
  </si>
  <si>
    <t xml:space="preserve">● HALONG BAY (1 DAY TRIP AND RETURN TO HANOI) 
♦ Our Car and Guide Pick You Up From Hotel / Stay And Follow The New Highway To Depart For Tuan Chau Island, Ha long City, Stop Over For A Rest On The Way
Arriving Tuan Chau Harbor, Welcome Aboard, And Safety Briefing The Ship Will Take You On An Over 5 Hours Journey Via 2 Day-sleeper Boat Cruise Route Which Renowned For Its Striking, Passages Uninhabited Islets And Outcrops Have Been Given Imaginative Names By The Locals, Due To Their Perceived Shapes, Including Cock Fighting And Thumb, While Enjoy Vietnamese Mouth-watering Lunch On Boat. Arriving Bo Hon Archipelago, You Will Visit Surprising Cave To See A Lot Of Stalagmites And Stalactites With Different Shapes Of Sea Lives, The Go Kayaking Or Bamboo Boat In Luon Cave To Discovery The Beautiful Lagoon.
♦ Visiting Titop Island with Sandy Beach Adjacent To The Towering Limestone Mountain With Excellent Backdrop Of The Bay, And Climb Up Titov Peak For A Panoramic View Of The Bay Like Paradise.
♦ Returning To Alova Premium Cruise With Afternoon Tea And Cruising Back Toward Tuan Chau Harbor. There Is A Lot Of Time For Sunbathing On The Upper Deck With Music, And Great Fun Of Group Touring Fellows Among World Iconic Natural Scenery.
♦ Disembarking For Going Back On The New Highway To Hanoi. 
♦ Dropping Off At Your Hotel
♦ Overnight In Hanoi
</t>
  </si>
  <si>
    <t xml:space="preserve">● HALONG BAY – HANOI 
♦ Today, Start-up Your New Day With Tai Chi Instruction Or Just Do Sunbathing On Sundeck And Feeling The Magnificent Dawn Scen Surrounding, Then Enjoy Cruise Breakfast And As Per Cruise’s (Visit Cave Or Floating Village…) Until Lunch Time At 11:00 Am. You Will Be Returned To The Main Harbor Before Transferring To Our Awaiting Vehicle. 
♦ Transfer Back To Hanoi. Check into Hanoi Hotel.
♦ Overnight Stay in Hanoi.
</t>
  </si>
  <si>
    <t xml:space="preserve">Halong Bay - Hanoi 4 hour 200 km Drive - Hanoi - 4 Hours Hanoi City Tour - Hanoi Hotel drop    </t>
  </si>
  <si>
    <t xml:space="preserve">● HALONG BAY – HANOI – CITY TOUR WITH GUIDE                                                                                                                                                                                                                                                                                                                                                   ♦ Today, Start-up Your New Day With Tai Chi Instruction Or Just Do Sunbathing On Sundeck And Feeling The Magnificent Dawn Scen Surrounding, Then Enjoy Cruise Breakfast And As Per Cruise’s (Visit Cave Or Floating Village…) Until Lunch Time At 11:00 Am. You Will Be Returned To The Main Harbor Before Transferring To Our Awaiting Vehicle. 
♦ Transfer Back To Hanoi. Check into Hanoi Hotel. Guide Pick up from Hotel. 4 Hrs Hanoi city tour 
♦ Overnight Stay in Hanoi.
</t>
  </si>
  <si>
    <t xml:space="preserve">● HALONG BAY – HANOI AIRPORT DEPARTURE                                                                                                                                                                                                                                                                                                                                                              ♦ Cruise Check out time is 10.30 – 11.00
3.5 -4 hours per way, Breakfast &amp; brunch on the cruise
♦ Cruise arrival 11:00 AM and then our car pick-up you towards Hanoi - Noi Bai airport for departure flight.
</t>
  </si>
  <si>
    <t>● HANOI – SAPA – FREE TIME IN TOWN (1 Night)
♦ (300 KM 6 hours)
♦ After Breakfast, Checkout From Hotel &amp; Transfer to SAPA. 
♦ Sapa is a place of natural beauty, with cascading rice terraces, misty valleys, and majestic peaks. It is also a cultural hub, home to several ethnic minority groups with unique customs and traditions.
♦ Proceed For Hotel Check-in. Free to discover Sapa town..  
♦ Overnight Stay In SAPA.</t>
  </si>
  <si>
    <t>● HANOI – SAPA – FREE TIME IN TOWN (2 Nights)
♦ (300 KM 6 hours)
♦ After Breakfast, Checkout From Hotel &amp; Transfer to SAPA. 
♦ Sapa is a place of natural beauty, with cascading rice terraces, misty valleys, and majestic peaks. It is also a cultural hub, home to several ethnic minority groups with unique customs and traditions.
♦ Proceed For Hotel Check-in. Free to discover Sapa town..  
♦ Overnight Stay In SAPA.</t>
  </si>
  <si>
    <t>● HANOI – SAPA – FREE TIME IN TOWN (3 Nights)
♦ (300 KM 6 hours)
♦ After Breakfast, Checkout From Hotel &amp; Transfer to SAPA. 
♦ Sapa is a place of natural beauty, with cascading rice terraces, misty valleys, and majestic peaks. It is also a cultural hub, home to several ethnic minority groups with unique customs and traditions.
♦ Proceed For Hotel Check-in. Free to discover Sapa town..  
♦ Overnight Stay In SAPA.</t>
  </si>
  <si>
    <t>● HANOI AIRPORT – SAPA – MOANA SCULPTURE - SAPA                                                                                                                                                                                                                                                                                                                     ♦ (300 KM 6 hours)
♦ Arrive Hanoi Airport Transfer To SAPA. 
♦ Sapa is a place of natural beauty, with cascading rice terraces, misty valleys, and majestic peaks. It is also a cultural hub, home to several ethnic minority groups with unique customs and traditions.
♦ We visit Moana SAPA, Coming to this place, you can not only admire the majestic natural landscape mixed with mountains and forests, but also have the opportunity to check in countless beautiful photos with super quality virtual living angles here.
♦Overnight Stay in SAPA.</t>
  </si>
  <si>
    <t xml:space="preserve">● HANOI AIRPORT – SAPA – CAT CAT VILLAGE TOUR - SAPA
♦ (300 KM 6 hours)
♦ Arrive Hanoi Airport Transfer To SAPA. 
♦ Sapa is a place of natural beauty, with cascading rice terraces, misty valleys, and majestic peaks. It is also a cultural hub, home to several ethnic minority groups with unique customs and traditions.
♦ We visit Cat Cat Village, known as the most beautiful village in the Northwest. This Place is where the H and Mong ethnic people live, with extremely beautiful and unique still  roofs hidden at the foot of the Hoang Lien Son mountain range. You can learn about the customs and traditions of weaving and dyeing, beautiful shimmering brocade dresses and shirts are also made from wooden looms and their skilful hands. You can try weaving….  Cultural exchanges. Interact with the people here. Next, you will visit Cat Cat waterfall, a hydroelectric plant built by the French, admire terraced fields..                                                                                                                            ♦ Overnight Stay in SAPA.
</t>
  </si>
  <si>
    <t xml:space="preserve">● HANOI AIRPORT - SAPA - GLASS BOTTOM BRIDGE - SAPA
♦ (300 KM 6 hours)
♦ Arrive Hanoi Airport Transfer To SAPA.                                                                                                                                                                                                                                                                                                                                                          ♦ Sapa is a place of natural beauty, with cascading rice terraces, misty valleys, and majestic peaks. It is also a cultural hub, home to several ethnic minority groups with unique customs and traditions.                                                                                                     ♦ Visit to the Glass Bottom Bridge. check in to the Glass Bridge. At the moment, Sapa Glass Bridge is the longest Glass Bridge in Indochina. This bridge is not so big, only 60m long and 5m wide, however, at the height of more than 2000m above sea level, the view from Sapa Glass Bridge is absolutely stunning! Besides, the Glass Bridge is about 60m far from the cliff bringing the 360o panorama view to the guests.
♦ Overnight Stay in SAPA.
</t>
  </si>
  <si>
    <t xml:space="preserve">● HANOI – SAPA – MOANA SCULPTURE – CAT CAT VILLAGE TOUR WITH GUIDE - SAPA                                                                                                                                                                                                                                                                                                               ♦ (300 KM 6 hours)
♦ After Breakfast, Checkout From Hotel &amp; Transfer to SAPA.
♦ Sapa is a place of natural beauty, with cascading rice terraces, misty valleys, and majestic peaks. It is also a cultural hub, home to several ethnic minority groups with unique customs and traditions.  
♦ We visit Moana SAPA, Coming to this place, you can not only admire the majestic natural landscape mixed with mountains and forests, but also have the opportunity to check in countless beautiful photos with super quality virtual living angles here.
♦ Next we visit Cat Cat Village, known as the most beautiful village in the Northwest. This Place is where the H and Mong ethnic people live, with extremely beautiful and unique still  roofs hidden at the foot of the Hoang Lien Son mountain range. You can learn about the customs and traditions of weaving and dyeing, beautiful shimmering brocade dresses and shirts are also made from wooden looms and their skilful hands.                                                                                                        ♦ You can try weaving….  Cultural exchanges. Interact with the people here. Next, you will visit Cat Cat waterfall, a hydroelectric plant built by the French, admire terraced fields.. 
♦ Overnight Stay in SAPA. 
</t>
  </si>
  <si>
    <t xml:space="preserve">● SAPA – MOANA SCULPTURE – CAT CAT VILLAGE TOUR - SAPA
♦ After Breakfast At Hotel.
♦ We visit Moana SAPA, Coming to this place, you can not only admire the majestic natural landscape mixed with mountains and forests, but also have the opportunity to check in countless beautiful photos with super quality virtual living angles here.
♦ Next we visit Cat Cat Village, known as the most beautiful village in the Northwest. This Place is where the H and Mong ethnic people live, with extremely beautiful and unique still  roofs hidden at the foot of the Hoang Lien Son mountain range. You can learn about the customs and traditions of weaving and dyeing, beautiful shimmering brocade dresses and shirts are also made from wooden looms and their skilful hands.                                                                            ♦ You can try weaving….  Cultural exchanges. Interact with the people here. Next, you will visit Cat Cat waterfall, a hydroelectric plant built by the French, admire terraced fields.. 
♦ Overnight Stay in SAPA. 
</t>
  </si>
  <si>
    <t xml:space="preserve">● SAPA – MOANA SCULPTURE  - SAPA
♦ After Breakfast At Hotel.
♦ We visit Moana SAPA, Coming to this place, you can not only admire the majestic natural landscape mixed with mountains and forests, but also have the opportunity to check in countless beautiful photos with super quality virtual living angles here.
♦ Overnight Stay in SAPA. 
</t>
  </si>
  <si>
    <t xml:space="preserve">● SAPA –  CAT CAT VILLAGE TOUR - SAPA
♦ After Breakfast At Hotel.
♦ We visit Cat Cat Village, known as the most beautiful village in the Northwest. This Place is where the H and Mong ethnic people live, with extremely beautiful and unique still  roofs hidden at the foot of the Hoang Lien Son mountain range. You can learn about the customs and traditions of weaving and dyeing, beautiful shimmering brocade dresses and shirts are also made from wooden looms and their skilful hands. You can try weaving….  Cultural exchanges. Interact with the people here. Next, you will visit Cat Cat waterfall, a hydroelectric plant built by the French, admire terraced fields.. 
♦ Overnight Stay in SAPA. 
</t>
  </si>
  <si>
    <t xml:space="preserve">● SAPA – FANSIPAN MOUNTAIN - GLASS BOTTOM BRIDGE - HANOI
♦ After Breakfast At Hotel. Today you will have great experience to conquer the top of Indochina – Fansipan Mount Peak in Sapa, by cable car, just have a seat tight in a cabin, within only 15 minutes move through some levels of clouds, on the cable car you are above forest, waterfall, through and above clouds… You will reach the top of Fansipan at 3143m high – the roof top of Indochina countries. The cable route has welcomed thousands of coming tourists to Sapa to make their dream of conquering the highest Indochina peak to be real. Visit Pagoda in the mist and check in photo at peak of mountain… All stunning view are there with you. After enjoying the view on top of Indochina, you will use cable car back to foot our mountain. Visit to the Glass Bottom Bridge. check in to the Glass Bridge. At the moment, Sapa Glass Bridge is the longest Glass Bridge in Indochina. This bridge is not so big, only 60m long and 5m wide, however, at the height of more than 2000m above sea level, the view from Sapa Glass Bridge is absolutely stunning! Besides, the Glass Bridge is about 60m far from the cliff bringing the 360o panorama view to the guests.
♦ Transfer Back To Hanoi.                                                                                                                                                                                                                                                                                                                                                                         ♦ Overnight Stay in Hanoi.
</t>
  </si>
  <si>
    <t xml:space="preserve">● SAPA – FANSIPAN MOUNTAIN - HANOI
♦ After Breakfast At Hotel. Today you will have great experience to conquer the top of Indochina – Fansipan Mount Peak in Sapa, by cable car, just have a seat tight in a cabin, within only 15 minutes move through some levels of clouds, on the cable car you are above forest, waterfall, through and above clouds… You will reach the top of Fansipan at 3143m high – the roof top of Indochina countries. The cable route has welcomed thousands of coming tourists to Sapa to make their dream of conquering the highest Indochina peak to be real. Visit Pagoda in the mist and check in photo at peak of mountain… All stunning view are there with you. After enjoying the view on top of Indochina, you will use cable car back to foot our mountain.
♦ Transfer Back To Hanoi.                                                                                                                                                                                                                                                                                                                                                                ♦ Overnight Stay in Hanoi.
</t>
  </si>
  <si>
    <t xml:space="preserve">● SAPA - GLASS BOTTOM BRIDGE - HANOI
♦ After Breakfast At Hotel. Visit to the Glass Bottom Bridge. check in to the Glass Bridge. At the moment, Sapa Glass Bridge is the longest Glass Bridge in Indochina. This bridge is not so big, only 60m long and 5m wide, however, at the height of more than 2000m above sea level, the view from Sapa Glass Bridge is absolutely stunning! Besides, the Glass Bridge is about 60m far from the cliff bringing the 360o panorama view to the guests.
♦ Transfer Back To Hanoi.                                                                                                                                                                                                                                                                                                                                                                            ♦ Overnight Stay in Hanoi.
</t>
  </si>
  <si>
    <t>● SAPA – FANSIPAN MOUNTAIN - GLASS BOTTOM BRIDGE - SAPA
♦ After Breakfast At Hotel. Today you will have great experience to conquer the top of Indochina – Fansipan Mount Peak in Sapa, by cable car, just have a seat tight in a cabin, within only 15 minutes move through some levels of clouds, on the cable car you are above forest, waterfall, through and above clouds… You will reach the top of Fansipan at 3143m high – the roof top of Indochina countries. The cable route has welcomed thousands of coming tourists to Sapa to make their dream of conquering the highest Indochina peak to be real. Visit Pagoda in the mist and check in photo at peak of mountain… All stunning view are there with you. After enjoying the view on top of Indochina, you will use cable car back to foot our mountain. Visit to the Glass Bottom Bridge. check in to the Glass Bridge. At the moment, Sapa Glass Bridge is the longest Glass Bridge in Indochina. This bridge is not so big, only 60m long and 5m wide, however, at the height of more than 2000m above sea level, the view from Sapa Glass Bridge is absolutely stunning! Besides, the Glass Bridge is about 60m far from the cliff bringing the 360o panorama view to the guests.
♦ Overnight Stay in SAPA.</t>
  </si>
  <si>
    <t>● SAPA – FANSIPAN MOUNTAIN - SAPA
♦ After Breakfast At Hotel. Today you will have great experience to conquer the top of Indochina – Fansipan Mount Peak in Sapa, by cable car, just have a seat tight in a cabin, within only 15 minutes move through some levels of clouds, on the cable car you are above forest, waterfall, through and above clouds… You will reach the top of Fansipan at 3143m high – the roof top of Indochina countries. The cable route has welcomed thousands of coming tourists to Sapa to make their dream of conquering the highest Indochina peak to be real. Visit Pagoda in the mist and check in photo at peak of mountain… All stunning view are there with you. After enjoying the view on top of Indochina, you will use cable car back to foot our mountain.
♦ Overnight Stay in SAPA.</t>
  </si>
  <si>
    <t>● SAPA - GLASS BOTTOM BRIDGE - SAPA
♦ After Breakfast At Hotel. Visit to the Glass Bottom Bridge. check in to the Glass Bridge. At the moment, Sapa Glass Bridge is the longest Glass Bridge in Indochina. This bridge is not so big, only 60m long and 5m wide, however, at the height of more than 2000m above sea level, the view from Sapa Glass Bridge is absolutely stunning! Besides, the Glass Bridge is about 60m far from the cliff bringing the 360o panorama view to the guests.
♦ Overnight Stay in SAPA.</t>
  </si>
  <si>
    <t>Hanoi Airport - Hanoi - 300 KM 6 hours Drive - Sapa - Sapa Hotel Drop</t>
  </si>
  <si>
    <t xml:space="preserve">● HANOI AIRPORT – SAPA – FREE TIME IN TOWN 
♦ Arrive In Noi Bai International Airport.
♦ Our Private Car Will Pick You Up From The Airport And Head Towards SAPA.
Sapa is a place of natural beauty, with cascading rice terraces, misty valleys, and majestic peaks. It is also a cultural hub, home to several ethnic minority groups with unique customs and traditions.
♦ Proceed For Hotel Check-in. free to discover Sapa town..  
♦ Overnight Stay In SAPA.
</t>
  </si>
  <si>
    <t>● HANOI DEPARTURE 
♦ Free time upto check out and then your car transfer you to Hanoi Airport For Next Flight.</t>
  </si>
  <si>
    <t xml:space="preserve">● SAPA - HANOI AIRPORT 
♦ (300 KM 6 hours)
♦ After Breakfast, Checkout From Hotel &amp; Transfer Back To Hanoi Airport For Next Flight.
</t>
  </si>
  <si>
    <t xml:space="preserve">● ARRIVAL DANANG CITY, VIETNAM                                                                                                                                                                                                                                                                                                                                                                ♦ Da Nang Is A Coastal City In Central Vietnam Known For Its Sandy Beaches And History As A French Colonial Port. Upon Arrival At Da Nang, Check In To Hotel.                 
♦ Overnight Stay In Da Nang.
</t>
  </si>
  <si>
    <t xml:space="preserve">Danang Airport - Danang - Danang City Tour - Danang Hotel Drop  </t>
  </si>
  <si>
    <t>● ARRIVAL DANANG CITY, VIETNAM                                                                                                                                                                                                                                                                                                                                                                                ♦ Da Nang Is A Coastal City In Central Vietnam Known For Its Sandy Beaches And History As A French Colonial Port. Upon Arrival At Da Nang. Danang City Tour. After Check In To Hotel.                 
♦ Overnight Stay In Da Nang.</t>
  </si>
  <si>
    <t>Danang Hotel - Danang City Tour - Danang Hotel Drop</t>
  </si>
  <si>
    <t>● DANANG CITY                                                                                                                                                                                                                                                                                                                                                                                                                                ♦ At 08:30 in the morning, our tour guide will pick you up and start with you on your journey to Danang City Tour. After Check In To Hotel.                 
♦ Overnight Stay In Da Nang.</t>
  </si>
  <si>
    <t xml:space="preserve">Danang Hotel - Ba Na Hills - Danang hotel </t>
  </si>
  <si>
    <t xml:space="preserve">● DA NANG – BA NA HILLS – DANANG 
♦ After Breakfast At Hotel, Morning Transfer To Ba Na Hill, One Of The Most Spectacular Landscape Of Danang City. You Will Take A Cable Car To The Summit Of Mountain (At 1487m Of Sea Level). Start Visiting Ba Na Hill With Many Different Attractions: Funicular &amp; Le Jardin D’amour, Linh Ung Pagoda, Thich Ca Buddist Statue, Etc. This Afternoon You Continue To Join Activities And Games In Fantasy Later Walk To The Summit Of The Mountain At The Height 1487m – The Ba Na Mountain, Visit Bell Tower, Nghinh Phong Tower And Golden Bridge, To Take Beautiful Photos Of The Mountain And Da Nang City. Late Afternoon, Cable Car Back To Foothill.
♦ Overnight Stay In Danang.
(Please Note: Debay Ancient Wine Cellar, Wax Museum, Cotton Animal Game And Carnival Skill At Fantasy Park Is Not Included In My Quotation, Joining Them Will Be At Your Own Account.) 
</t>
  </si>
  <si>
    <t xml:space="preserve">Danang Hotel - Ba Na Hills (With Lunch) - Danang hotel </t>
  </si>
  <si>
    <t xml:space="preserve">● DA NANG – BA NA HILLS – DANANG
♦ After Breakfast At Hotel, Morning Transfer To Ba Na Hill, One Of The Most Spectacular Landscape Of Danang City. You Will Take A Cable Car To The Summit Of Mountain (At 1487m Of Sea Level). Start Visiting Ba Na Hill With Many Different Attractions: Funicular &amp; Le Jardin D’amour, Linh Ung Pagoda, Thich Ca Buddist Statue, Etc Lunch At Restaurant In Bana Hills. This Afternoon You Continue To Join Activities And Games In Fantasy Later Walk To The Summit Of The Mountain At The Height 1487m – The Ba Na Mountain, Visit Bell Tower, Nghinh Phong Tower And Golden Bridge, To Take Beautiful Photos Of The Mountain And Da Nang City. Late Afternoon, Cable Car Back To Foothill.
♦ Overnight Stay In Danang.
(Please Note: Debay Ancient Wine Cellar, Wax Museum, Cotton Animal Game And Carnival Skill At Fantasy Park Is Not Included In My Quotation, Joining Them Will Be At Your Own Account.) 
</t>
  </si>
  <si>
    <t xml:space="preserve">● DANANG HOTEL – MARBLE MOUNTAIN – BASKET BOAT RIDE - HOI AN ANCIENT TOWN
♦ After Breakfast,  Start Our Tour By Visiting Marble Mountain. Climb Thuy Son (Water Mountain) By The Stone Stairs (Elevator For Two Ways) And Enjoy The Panoramic View Of The Nearby
♦ Countryside, And Visit Huyen Khong Cave Before Entering Tam Thai And Linh Ung Pagodas Where You Will Be Rewarded By Great City Views And Amazed By The Main Cave Which Houses A Beautiful Cham Buddha Sitting Under A Natural haft Of Light. Drive To Cam Thanh Commune To Visit Bay Mau Coconut Forest. Some Activities You Can Experience: 
♦ Visit The Bay Mau Coconut Forest By Basket Boat
♦ See The Daily Life Of Local People In Bay Mau Coconut Forest.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Evening, Take A Lantern Boat Trip Along The Hoai River. During The Boat Ride, Visitors Can Release Colorful Lanterns Onto The Calm River Water. They Will Be Given A Lantern Made From Colored Paper With A Candle In The Middle To Release Onto The Water While Making A Wish.
♦ Overnight Stay In Danang.
</t>
  </si>
  <si>
    <t xml:space="preserve"> ● DANANG HOTEL – MARBLE MOUNTAIN – BASKET BOAT RIDE - HOI AN ANCIENT TOWN
♦ After Breakfast,  Start Our Tour By Visiting Marble Mountain. Climb Thuy Son (Water Mountain) By The Stone Stairs (Elevator For Two Ways) And Enjoy The Panoramic View Of The Nearby
Countryside, And Visit Huyen Khong Cave Before Entering Tam Thai And Linh Ung Pagodas Where You Will Be Rewarded By Great City Views And Amazed By The Main Cave Which Houses A Beautiful Cham Buddha Sitting Under A Natural haft Of Light. Drive To Cam Thanh Commune To Visit Bay Mau Coconut Forest. Some Activities You Can Experience: 
♦ Visit The Bay Mau Coconut Forest By Basket Boat
♦ See The Daily Life Of Local People In Bay Mau Coconut Forest.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 Overnight Stay In Danang.</t>
  </si>
  <si>
    <t>●  DANANG HOTEL – MARBLE MOUNTAIN – BASKET BOAT RIDE - HOI AN ANCIENT TOWN
♦ After Breakfast,  Start Our Tour By Visiting Marble Mountain. Climb Thuy Son (Water Mountain) By The Stone Stairs (Elevator For Two Ways) And Enjoy The Panoramic View Of The Nearby
Countryside, And Visit Huyen Khong Cave Before Entering Tam Thai And Linh Ung Pagodas Where You Will Be Rewarded By Great City Views And Amazed By The Main Cave Which Houses A Beautiful Cham Buddha Sitting Under A Natural haft Of Light. Drive To Cam Thanh Commune To Visit Bay Mau Coconut Forest. Some Activities You Can Experience: 
♦ Visit The Bay Mau Coconut Forest By Basket Boat Ride By Own.
♦ See The Daily Life Of Local People In Bay Mau Coconut Forest.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t>
  </si>
  <si>
    <t>● DANANG HOTEL – MARBLE MOUNTAIN – BASKET BOAT RIDE - HOI AN ANCIENT TOWN
♦ After Breakfast,  Start Our Tour By Visiting Marble Mountain. Climb Thuy Son (Water Mountain) By The Stone Stairs (Elevator For Two Ways) And Enjoy The Panoramic View Of The Nearby
Countryside, And Visit Huyen Khong Cave Before Entering Tam Thai And Linh Ung Pagodas Where You Will Be Rewarded By Great City Views And Amazed By The Main Cave Which Houses A Beautiful Cham Buddha Sitting Under A Natural haft Of Light.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t>
  </si>
  <si>
    <t>● DANANG HOTEL - HOI AN ANCIENT TOWN
♦ After Breakfast,  Start Our Tour By Visiting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t>
  </si>
  <si>
    <t xml:space="preserve">● DANANG HOTEL – COCONUT VILLAGE - (BASKET BOAT RIDE BY OWN) - HOI AN ANCIENT TOWN
♦ After Breakfast,  Start Our Tour By Visiting  Coconut Village. Drive To Cam Thanh Commune To Visit Bay Mau Coconut Forest. Some Activities You Can Experience: 
♦ Visit The Bay Mau Coconut Forest By Basket Boat Ride By Own.
♦ See The Daily Life Of Local People In Bay Mau Coconut Forest.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
</t>
  </si>
  <si>
    <t xml:space="preserve">● DANANG AIRPORT – MARBLE MOUNTAIN – COCONUT VILLAGE - BASKET BOAT RIDE - HOI AN ANCIENT TOWN – DANANG 
♦ Upon arrival at Danang Airport.                                                                                                                                                                                                                                                                                                                                                                    ♦ Start Our Tour By Visiting Marble Mountain. Climb Thuy Son (Water Mountain) By The Stone Stairs (Elevator For Two Ways) And Enjoy The Panoramic View Of The Nearby
Countryside, And Visit Huyen Khong Cave Before Entering Tam Thai And Linh Ung Pagodas Where You Will Be Rewarded By Great City Views And Amazed By The Main Cave Which Houses A Beautiful Cham Buddha Sitting Under A Natural haft Of Light. Drive To Cam Thanh Commune To Visit Bay Mau Coconut Forest. Some Activities You Can Experience: 
♦ Visit The Bay Mau Coconut Forest By Basket Boat
♦ See The Daily Life Of Local People In Bay Mau Coconut Forest.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Evening, Take A Lantern Boat Trip Along The Hoai River. During The Boat Ride, Visitors Can Release Colorful Lanterns Onto The Calm River Water. They Will Be Given A Lantern Made From Colored Paper With A Candle In The Middle To Release Onto The Water While Making A Wish.
♦ Overnight Stay In Danang.
</t>
  </si>
  <si>
    <t>●  DANANG AIRPORT – MARBLE MOUNTAIN – BASKET BOAT RIDE - HOI AN ANCIENT TOWN                                                                                                                                                                                                                                                    ♦ Upon arrival at Danang Airport. Start Our Tour By Visiting Marble Mountain. Climb Thuy Son (Water Mountain) By The Stone Stairs (Elevator For Two Ways) And Enjoy The Panoramic View Of The Nearby Countryside, And Visit Huyen Khong Cave Before Entering Tam Thai And Linh Ung Pagodas Where You Will Be Rewarded By Great City Views And Amazed By The Main Cave Which Houses A Beautiful Cham Buddha Sitting Under A Natural haft Of Light. Drive To Cam Thanh Commune To Visit Bay Mau Coconut Forest. Some Activities You Can Experience: 
♦ Visit The Bay Mau Coconut Forest By Basket Boat
♦ See The Daily Life Of Local People In Bay Mau Coconut Forest.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t>
  </si>
  <si>
    <t>●  DANANG AIRPORT – MARBLE MOUNTAIN – BASKET BOAT RIDE - HOI AN ANCIENT TOWN                                                                                                                                                                                                                                                         ♦ Upon arrival at Danang Airport.                   
Start Our Tour By Visiting Marble Mountain. Climb Thuy Son (Water Mountain) By The Stone Stairs (Elevator For Two Ways) And Enjoy The Panoramic View Of The Nearby Countryside, And Visit Huyen Khong Cave Before Entering Tam Thai And Linh Ung Pagodas Where You Will Be Rewarded By Great City Views And Amazed By The Main Cave Which Houses A Beautiful Cham Buddha Sitting Under A Natural haft Of Light. Drive To Cam Thanh Commune To Visit Bay Mau Coconut Forest. Some Activities You Can Experience: 
♦ Visit The Bay Mau Coconut Forest By Basket Boat Ride By Own.
♦ See The Daily Life Of Local People In Bay Mau Coconut Forest.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t>
  </si>
  <si>
    <t>● DANANG AIRPORT – MARBLE MOUNTAIN – HOI AN ANCIENT TOWN                                                                                                                                                                                                                                                                                            ♦ Upon arrival at Danang Airport. Start Our Tour By Visiting Marble Mountain. Climb Thuy Son (Water Mountain) By The Stone Stairs (Elevator For Two Ways) And Enjoy The Panoramic View Of The Nearby Countryside, And Visit Huyen Khong Cave Before Entering Tam Thai And Linh Ung Pagodas Where You Will Be Rewarded By Great City Views And Amazed By The Main Cave Which Houses A Beautiful Cham Buddha Sitting Under A Natural haft Of Light.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t>
  </si>
  <si>
    <t>● DANANG AIRPORT - HOI AN ANCIENT TOWN                                                                                                                                                                                                                                                                                                                                   ♦ Upon arrival at Danang Airport. Start Our Tour By Visiting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t>
  </si>
  <si>
    <t xml:space="preserve">● DANANG AIRPORT – COCONUT VILLAGE - (BASKET BOAT RIDE BY OWN) - HOI AN ANCIENT TOWN                                                                                                                                                                                                                                    ♦ Upon arrival at Danang Airport. Start Our Tour By Visiting  Coconut Village. Drive To Cam Thanh Commune To Visit Bay Mau Coconut Forest. Some Activities You Can Experience: 
♦ Visit The Bay Mau Coconut Forest By Basket Boat Ride By Own.
♦ See The Daily Life Of Local People In Bay Mau Coconut Forest.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
</t>
  </si>
  <si>
    <t xml:space="preserve">● DANANG - CHAM ISLAND TOUR                                                                                                                                                                                                                                                                                                                                                                 ♦ After Breakfast, Start Our Tour By Visiting Cham Island. Take a day trip to the beautiful Cham Islands, a UNESCO World Biosphere Reserve. This tourist spot favorite is known for its beautiful granite islands and stunning cerulean seas.                                                                                                                                                                                                                                                                                                                                                                             ♦ Overnight Stay In Danang. </t>
  </si>
  <si>
    <t>● DANANG – DANANG AIRPORT
♦ After breakfast, you’ll have free time until our driver arrives to pick you up and transfer you to Da Nang airport For Next Flight.</t>
  </si>
  <si>
    <t xml:space="preserve">● ARRIVAL HO CHI MINH CITY, VIETNAM
♦ Today you’ll land in Ho Chi Minh City (Tan Son Nhat International Airport). Driver at airport then transfer to hotel for check in. Check in time is 14.00 – early check in not included
♦ Free time to enjoy the crowded and bustling Ho Chi Minh city – Ho Chi Minh city is the city of bars, pubs &amp; other nightlife activities…                                                                                                                                                                                          ♦ Overnight in Ho Chi Minh.
</t>
  </si>
  <si>
    <t xml:space="preserve">Ho Chi Minh Airport - HCM City Tour - Ho Chi Minh Hotel Drop </t>
  </si>
  <si>
    <t xml:space="preserve">● HO CHI MINH AIRPORT – HCM CITY TOUR                                                                                                                                                                                                                                                                                                                                                                                                                                                                                                                                                    ♦ Upon arrival at Ho Chi Minh Airport. Welcome To Ho Chi Minh City, Formerly Known As Saigon, Is The Largest City In Vietnam, With A Population Of Around 9 Million In 2019. Situated In The Southeast Region Of Vietnam, The City Surrounds The Saigon River. 
♦ Visit To The Reunification Hall Which Includes: Formal Meeting Rooms, Private Bedrooms, War Situation Rooms 10 Meter Beneath Earth’s Level. The Guide Will Show You Important Historical Facts About This Building.                                                                             
♦ Overnight In Ho Chi Minh.
</t>
  </si>
  <si>
    <t xml:space="preserve">Ho Chi Minh Airport - HCM city Tour - Hop on Hop off city tour - Hotel Drop </t>
  </si>
  <si>
    <t xml:space="preserve">● HO CHI MINH AIRPORT – HCM CITY TOUR - HOP ON HOP OFF CITY TOUR                                                                                                                                                                                                                                                                                 ♦ Upon arrival at Ho Chi Minh Airport. Welcome To Ho Chi Minh City, Formerly Known As Saigon, Is The Largest City In Vietnam, With A Population Of Around 9 Million In 2019. Situated In The Southeast Region Of Vietnam, The City Surrounds The Saigon River. 
♦ Visit To The Reunification Hall Which Includes: Formal Meeting Rooms, Private Bedrooms, War Situation Rooms 10 Meter Beneath Earth’s Level. The Guide Will Show You Important Historical Facts About This Building.                                                                                                                                                                                                                                                                                                                                                                                                   ♦ Hop on &amp; Hop off Tour Embark on a picturesque tour of Ho Chi Minh City aboard our convenient double-decker buses. Experience Saigon at its most vibrant during the day as you admire iconic attractions.  
♦ Overnight In Ho Chi Minh.
</t>
  </si>
  <si>
    <t xml:space="preserve">Ho Chi Minh Hotel - HCM city Tour - Hop on Hop off city tour - Hotel Drop </t>
  </si>
  <si>
    <t>● HO CHI MINH – HCM CITY TOUR - HOP ON HOP OFF CITY TOUR                                                                                                                                                                                                                                                                                                                                                                                                                                                                                                                                                                                                                             ♦ After breakfast at hotel, our driver will pick you up and start with you on your journey to 
♦ Visit To The Reunification Hall Which Includes: Formal Meeting Rooms, Private Bedrooms, War Situation Rooms 10 Meter Beneath Earth’s Level. The Guide Will Show You Important Historical Facts About This Building.                                                                                                                                                                                                                                                                                                                                                                                               ♦ Hop on &amp; Hop off Tour Embark on a picturesque tour of Ho Chi Minh City aboard our convenient double-decker buses. Experience Saigon at its most vibrant during the day as you admire iconic attractions.  
♦ Overnight In Ho Chi Minh.</t>
  </si>
  <si>
    <t>● HO CHI MINH - CU CHI TUNNEL TOUR - HCM City Tour
♦ After Breakfast At Hotel, our driver will pick you up and start with you on your journey to Cu Chi Tunnels – the network of over 200km of tunnels became legendary when they played a vital role in the War. In their heyday, the tunnels were functioning underground cities including numerous trap doors, specially constructed living areas, storage facilities, weapons factories, field hospitals, command centers &amp; kitchens. After a short introduction video showing how the tunnels were constructed, you will have a chance to crawl into a short section of the tunnels to feel the oppressive narrowness and heat inside.                                                                                                                                                                                                                                                                                                                                                                                                                       ♦ After Cu Chi Tunnel Tour Visit We visit Mekong Delta. My Tho is one of the provinces located on the Mekong Delta, around away from Saigon. It is famous for coconuts so that people call it-the hometown of coconut. There are a lots of types of fruit trees here. So this is a place to supply fruits for other provinces in the Mekong Delta .                                                                                                                                                                                                                                                      ♦ Overnight stay at Ho Chi Minh.</t>
  </si>
  <si>
    <t>Ho Chi Minh Hotel - Cu Chi Tunnel Tour - HCM City Tour - Hotel Drop</t>
  </si>
  <si>
    <t>● HO CHI MINH - CU CHI TUNNEL TOUR - HCM City Tour
♦ After Breakfast At Hotel, our driver will pick you up and start with you on your journey to Cu Chi Tunnels – the network of over 200km of tunnels became legendary when they played a vital role in the War. In their heyday, the tunnels were functioning underground cities including numerous trap doors, specially constructed living areas, storage facilities, weapons factories, field hospitals, command centers &amp; kitchens. After a short introduction video showing how the tunnels were constructed, you will have a chance to crawl into a short section of the tunnels to feel the oppressive narrowness and heat inside.                                                                                                                                                                                                                                                                                                                                                                                                                       ♦ After Cu Chi Tunnel Tour Visit HCM City Tour. To The Reunification Hall Which Includes: Formal Meeting Rooms, Private Bedrooms, War Situation Rooms 10 Meter Beneath Earth’s Level. The Guide Will Show You Important Historical Facts About This Building.                                                                                                                                                                                                                                                                                                                                                                                 ♦ Overnight stay at Ho Chi Minh.</t>
  </si>
  <si>
    <t>● HO CHI MINH - MEKONG DELTA                                                                                                                                                                                                                                                                                                                                                                                                                                                            ♦ After Breakfast at Hotel, We visit Mekong Delta. My Tho is one of the provinces located on the Mekong Delta, around away from Saigon. It is famous for coconuts so that people call it-the hometown of coconut. There are a lots of types of fruit trees here. So this is a place to supply fruits for other provinces in the Mekong Delta .                                                                                                                                                                                           ♦ Overnight stay at Ho Chi Minh.</t>
  </si>
  <si>
    <t>● HO CHI MINH AIRPORT - MEKONG DELTA                                                                                                                                                                                                                                                                                                                                                                                                                                                                                       ♦ Upon arrival at Ho Chi Minh Airport. Welcome To Ho Chi Minh City, Formerly Known As Saigon, Is The Largest City In Vietnam, With A Population Of Around 9 Million In 2019. Situated In The Southeast Region Of Vietnam, The City Surrounds The Saigon River.                                                                                                                                                                                                                                                                                                                                                                                                                                                                                                                                                ♦ We visit Mekong Delta. My Tho is one of the provinces located on the Mekong Delta, around away from Saigon. It is famous for coconuts so that people call it-the hometown of coconut. There are a lots of types of fruit trees here. So this is a place to supply fruits for other provinces in the Mekong Delta .                                                                                                                                                                                           ♦ Overnight stay at Ho Chi Minh.</t>
  </si>
  <si>
    <t xml:space="preserve">●  MEKONG DELTA - HO CHI MINH DEPARTURE                                                                                                                                                                                                                                                                                                                                                                                                                                                                                                              ♦ After Breakfast at Hotel, We visit Mekong Delta. My Tho is one of the provinces located on the Mekong Delta, around away from Saigon. It is famous for coconuts so that people call it-the hometown of coconut. There are a lots of types of fruit trees here. So this is a place to supply fruits for other provinces in the Mekong Delta.                                                                                                                                                                                                                                                                                                                                                                                 ♦ Our Private Car Will Pick You Up From The Hotel And Drop You At Ho Chi Minh International Airport
</t>
  </si>
  <si>
    <t>● HO CHI MINH AIRPORT - CU CHI TUNNEL TOUR                                                                                                                                                                                                                                                                                                                                                                                                                                                                                                                  ♦ Upon arrival at Ho Chi Minh Airport. Welcome To Ho Chi Minh City, Formerly Known As Saigon, Is The Largest City In Vietnam, With A Population Of Around 9 Million In 2019. Situated In The Southeast Region Of Vietnam, The City Surrounds The Saigon River.                                                                                                                                                                                                                                                                           ♦ Our driver will pick you up and start with you on your journey to Cu Chi Tunnels – the network of over 200km of tunnels became legendary when they played a vital role in the War. In their heyday, the tunnels were functioning underground cities including numerous trap doors, specially constructed living areas, storage facilities, weapons factories, field hospitals, command centers &amp; kitchens. After a short introduction video showing how the tunnels were constructed, you will have a chance to crawl into a short section of the tunnels to feel the oppressive narrowness and heat inside.                                                                                                                                                                                                                                                             ♦ Overnight stay at Ho Chi Minh.</t>
  </si>
  <si>
    <t xml:space="preserve">●  CU CHI TUNNEL TOUR - HO CHI MINH DEPARTURE                                                                                                                                                                                                                                                                                                                                                                                                    ♦ After Breakfast At Hotel, our driver will pick you up and start with you on your journey to Cu Chi Tunnels – the network of over 200km of tunnels became legendary when they played a vital role in the War. In their heyday, the tunnels were functioning underground cities including numerous trap doors, specially constructed living areas, storage facilities, weapons factories, field hospitals, command centers &amp; kitchens. After a short introduction video showing how the tunnels were constructed, you will have a chance to crawl into a short section of the tunnels to feel the oppressive narrowness and heat inside.                                                                                                                                                                                                                                                                                                                                                                                                                                                                             ♦ Our Private Car Will Pick You Up From The Hotel And Drop You At Ho Chi Minh International Airport
</t>
  </si>
  <si>
    <t>● HO CHI MINH - CU CHI TUNNEL TOUR
♦ After Breakfast At Hotel, our driver will pick you up and start with you on your journey to Cu Chi Tunnels – the network of over 200km of tunnels became legendary when they played a vital role in the War. In their heyday, the tunnels were functioning underground cities including numerous trap doors, specially constructed living areas, storage facilities, weapons factories, field hospitals, command centers &amp; kitchens. After a short introduction video showing how the tunnels were constructed, you will have a chance to crawl into a short section of the tunnels to feel the oppressive narrowness and heat inside.                                                                                                                                                            ♦ Overnight stay in Ho Chi Minh.</t>
  </si>
  <si>
    <t xml:space="preserve">● HO CHI MINH DEPARTURE                                                                                                                                                                                                                                                                                                                                                                                                  ♦ Breakfast In Hotel
Free Time In Ho Chi Minh
Souvenir Shopping, Market Exploring
♦ Our Private Car Will Pick You Up From The Hotel And Drop You At Ho Chi Minh International Airport
</t>
  </si>
  <si>
    <t xml:space="preserve">● ARRIVAL PHU QUOC, VIETNAM                                                                                                                                                                                                                                                                                                                                                           ♦ Phú Quốc is a Vietnamese island off the coast of Cambodia in the Gulf of Thailand. It's known for white-sand beaches and resorts, most of which are along the palm-lined southwest coast.                                                                                                                                                                                                                  ♦ Upon arrival Phu Quoc Airport. Our Private Car Will Pick You Up From The Airport And Head Towards The Hotel.
♦ Check Into The Hotel, Take Necessary Rest After Flight.                                                                                                                                                                                                                                                                                                                          ♦ Overnight at Phu Quoc.
</t>
  </si>
  <si>
    <t xml:space="preserve">Phu Quoc Hotel - Vin Pearl Safari &amp; Vin Pearls - Wonder Land - Hotel Drop </t>
  </si>
  <si>
    <t>● SAFARI &amp; VIN PEARLS - WONDER LAND                                                                                                                                                                                                                                                                                                                                                              ♦ After Breakfast At Hotel, Visiting and exploring Vinpearl Safari Phu Quoc is the first and only open zoo in Vietnam that was built according to the international safari model. Vinpearl safari animal care and conservation park has 380 hectares of space, 150 animal species, 3,000 individual animals that call the park home, and at least 1,200 botanical species. The park is also divided into two main areas: a wildlife park and an open zoo. Vinwonders Phu Quoc - Vietnam's Biggest Theme Park, One of The Best in Asia. VinWonders Phu Quoc offers tourists an experience of their lifetime with a world-class system of activities. Captivating stories, unparalleled adventures and thrilling games are all the highlights of this place. VinWonders Phu Quoc is listed among the largest theme parks in Vietnam. Coming there, tourists of all ages and personalities can find their ideal destinations to explore.                                                                                                                                                                                                                                                                                                                                                       ♦ Overnight at Phu Quoc.</t>
  </si>
  <si>
    <t xml:space="preserve">● FULL DAY 3 ISLAND TOUR - BY SPEEDBOAT                                                                                                                                                                                                                                                                                                                                                     ♦ After Breakfast At Hotel, We Will Start Our Day By Visiting 3 Island Tour. Get on By Boat and Visit 3 Islands: Mong Tay, Gam Ghi, May Rut _ Check in, take photos, dive to see the coral reefs.                                                                                                                                                                                                                                                             ♦ Overnight at Phu Quoc. </t>
  </si>
  <si>
    <t xml:space="preserve">● FULL DAY 3 ISLAND TOUR - BY SPEEDBOAT - ONE WAY CABLE CAR                                                                                                                                                                                                                                                                                                                              ♦ After Breakfast At Hotel, We Will Start Our Day By Visiting 3 Island Tour. Get on By Boat and Visit 3 Islands: Mong Tay, Gam Ghi, May Rut _ Check in, take photos, dive to see the coral reefs.
♦ Go to Thom Island: imprints in the hearts of domestic and international tourists with impressive figures: Guinness world records with the title of “The world’s longest 3-wire sea cable car with a length of 7899.9m”, built with modern and advanced technology from the world’s leading manufacturers. But perhaps, the most attractive thing for tourists is the unique experience when watching from the ideal height on the cable car to admire the natural masterpiece given to the Southern Phu Quoc island.                                                                                                                                                                                                                                                                                                       ♦ Overnight at Phu Quoc. </t>
  </si>
  <si>
    <t xml:space="preserve">Phu Quoc Hotel - Full Day - 4 Island tour in south by speedboat - One Way Cable Car - Hotel drop </t>
  </si>
  <si>
    <t xml:space="preserve">● FULL DAY 4 ISLAND TOUR - BY SPEEDBOAT - ONE WAY CABLE CAR                                                                                                                                                                                                                                                                                                            ♦ After Breakfast At Hotel, We Will Start Our Day By Visiting 4 Island Tour. Get on By Boat and Visit 4 Islands: Mong Tay, Gam Ghi, Roi, May Rut _ Check in, take photos, dive to see the coral reefs.
Go to Thom Island: imprints in the hearts of domestic and international tourists with impressive figures: Guinness world records with the title of “The world’s longest 3-wire sea cable car with a length of 7899.9m”, built with modern and advanced technology from the world’s leading manufacturers. But perhaps, the most attractive thing for tourists is the unique experience when watching from the ideal height on the cable car to admire the natural masterpiece given to the Southern Phu Quoc island.                                                                                                                                                                                                                                                                                                 ♦ Overnight at Phu Quoc.  </t>
  </si>
  <si>
    <t xml:space="preserve">● FULL DAY 4 ISLAND TOUR - BY SPEEDBOAT                                                                                                                                                                                                                                                                                                                                                                                        ♦ After Breakfast At Hotel, We Will Start Our Day By Visiting 4 Island Tour. Get on By Boat and Visit 4 Islands: Mong Tay, Gam Ghi, Roi, May Rut _ Check in, take photos, dive to see the coral reefs.                                                                                                                                                                                                                        ♦ Overnight at Phu Quoc.  </t>
  </si>
  <si>
    <t>● PHU QUOC DEPARTURE                                                                                                                                                                                                                                                                                                                                                                              ♦ Breakfast In Hotel 
♦ Our Private Car Will Pick You Up From The Hotel And Drop You At Phu Quoc Airport.</t>
  </si>
  <si>
    <t>Meeting Point</t>
  </si>
  <si>
    <t>AIRPORT</t>
  </si>
  <si>
    <t>INTERNATIONAL ARRIVAL</t>
  </si>
  <si>
    <t>DOMESTIC ARRIVAL</t>
  </si>
  <si>
    <t>ARRIVAL PILLAR - 10 GF</t>
  </si>
  <si>
    <t>ARRIVAL HALL- A1</t>
  </si>
  <si>
    <t>T2 - GATE A &amp; GATE B</t>
  </si>
  <si>
    <t>T1 - GATE A,B,E</t>
  </si>
  <si>
    <t>GATE 5</t>
  </si>
  <si>
    <t>Exit Gate</t>
  </si>
  <si>
    <t>Terms &amp; Conditions | Advisory Notes</t>
  </si>
  <si>
    <t>Arrival Notes:</t>
  </si>
  <si>
    <t xml:space="preserve">➢ On the starting day of Tour, Once client local vietnameese number received then WhatsApp group will be created by us, kindly use that for any further communication.   </t>
  </si>
  <si>
    <t>➢ Guest need to proceed to the Arrival Or Exit Gate &amp; look for airport representative with guest name on Pla card.</t>
  </si>
  <si>
    <t>➢ Customer need to wait for 10-15 minutes at the arrival gate once they meet our Airport Representative, Because car park at parking point.</t>
  </si>
  <si>
    <t>➢ The maximum waiting period is 90 mins from time of flight landing.</t>
  </si>
  <si>
    <t>➢ All Tours and Transfer max waiting period is 10 min SIC basis and 30 Min on PVT Basis.</t>
  </si>
  <si>
    <t>➢ Guest need to take care of their belongings while leaving Hotel or Car, We will not be responsible for any belongings.</t>
  </si>
  <si>
    <t>Hotel Notes:</t>
  </si>
  <si>
    <t>➢ Standard Check in Time: 02:00 Pm *Early check in is subject to hotel availability &amp; hotel may charge directly to the guest.</t>
  </si>
  <si>
    <t>➢ Standard Check out Time: 11:00 Am Late checkout subject to hotel availability &amp; hotel may charge directly to the guest.</t>
  </si>
  <si>
    <t>➢ Hotel may ask for SECURITY DEPOSIT up to 200 USD Or Passport depends on the hotels policy.</t>
  </si>
  <si>
    <t>➢ For any room facilities, hotel facilities and car parking enquiries, please contact the Hotel Reception directly.</t>
  </si>
  <si>
    <t>Sightseeing Notes:</t>
  </si>
  <si>
    <t>➢ Guest are not required to carry Passport for any sightseeing.</t>
  </si>
  <si>
    <t>➢ In case of heavy traffic or raining, pick up time may vary by 30-45 mins.</t>
  </si>
  <si>
    <t>➢ For Visit to Island, all guest are advised to carry extra pair of clothes, towel and slippers.</t>
  </si>
  <si>
    <t xml:space="preserve">                  Travel Itinerary                 </t>
  </si>
  <si>
    <t xml:space="preserve">Meeting Point At Airport Arrival </t>
  </si>
  <si>
    <t>AIRPROT</t>
  </si>
  <si>
    <t>ARRIVAL - T2 - PILLAR 10 GF</t>
  </si>
  <si>
    <t>T1 - ARRIVAL - A1</t>
  </si>
  <si>
    <t>ARRIVAL - T2 - PILLAR 10 1F</t>
  </si>
  <si>
    <t>T1 - ARRIVAL - E2</t>
  </si>
  <si>
    <t>EXIT GATE PARKING</t>
  </si>
  <si>
    <t>T1 ARRIVAL PILLAR 4,5</t>
  </si>
  <si>
    <t xml:space="preserve"> Guest are not required to carry Passport for any sightseeing.
➢ In case of heavy traffic or raining, pick up time may vary by 30-45 mins.
➢ For Visit to Island, all guest are advised to carry extra pair of clothes, towel and slippers.
➢ For SIC booking, Pickup maybe delay by 20 to 30 minutes.
➢ Hanoi - Mauloseum -One Pillar Pagoda will remain closed on all Monday &amp; Friday.
➢ Vietnam - Any City- Mauseloum,Temple,Pagoda,Church - Gents/Ladies/Child -Wearing Short cloths not allowed,Ladies also put scarf in
pocket in need then wear it.
➢ Kindly bring your swimwear, while we'll be exploring water park, island and enjoying the swimming pool in resort.</t>
  </si>
  <si>
    <t>➢ For SIC booking, Pickup maybe delay by 20 to 30 minutes.</t>
  </si>
  <si>
    <t>➢  Hanoi - Mauloseum -One Pillar Pagoda will remain closed on all Monday &amp; Friday.</t>
  </si>
  <si>
    <t>➢  Vietnam - Any City- Mauseloum,Temple,Pagoda,Church - Gents/Ladies/Child -Wearing Short cloths not allowed,Ladies put scarf in pocket if needed then wear it.</t>
  </si>
  <si>
    <t>➢ Kindly bring your swimwear, while we'll be exploring water park, island and enjoying the swimming pool in resort.</t>
  </si>
  <si>
    <t>Departure Notes:</t>
  </si>
  <si>
    <t>➢ Departure from hotel will be done 4 Hrs prior to scheduled departure of flight for international flight &amp; Departure from hotel will be done 3 Hrs prior to scheduled departure of flight for international flight guests are requested to report concierge for their presence at hotel lobby. For Example: for night flights from 21.30hrs-00.00hrs departure transfer will be conducted at 18.00-18.30hrs.</t>
  </si>
  <si>
    <t>Other Terms:</t>
  </si>
  <si>
    <t>➢ For any amendment requests in the Itinerary, the request shall be subject to possibilities.</t>
  </si>
  <si>
    <t xml:space="preserve">                                                  17 March  /  Nights </t>
  </si>
  <si>
    <t xml:space="preserve">                                                  20 March /  Nights </t>
  </si>
  <si>
    <t xml:space="preserve">                                                  23 March  /  Nights </t>
  </si>
  <si>
    <t xml:space="preserve">                                                  25 March  /  Nights </t>
  </si>
  <si>
    <t>Travel Date :  27 Dec 2025</t>
  </si>
  <si>
    <t xml:space="preserve">                Total Person  = 3</t>
  </si>
  <si>
    <t xml:space="preserve">12  Nights / 13 Days </t>
  </si>
  <si>
    <t>Arrival Date : 27 Dec 2025</t>
  </si>
  <si>
    <t xml:space="preserve">                                                  27 Dec  /  Nights </t>
  </si>
  <si>
    <t xml:space="preserve">                                                  28 Dec  /  Nights</t>
  </si>
  <si>
    <t xml:space="preserve">                                                  4 January  /  Nights </t>
  </si>
  <si>
    <t xml:space="preserve">                                                 1 January  /  Nights </t>
  </si>
  <si>
    <t xml:space="preserve">                                                 31 Dec  /  Nights </t>
  </si>
  <si>
    <t xml:space="preserve">                                                  7 January  /  Nights </t>
  </si>
  <si>
    <t>Departure Date :  8 Jan 2026</t>
  </si>
  <si>
    <t xml:space="preserve">Client Name : 
Contact Number: </t>
  </si>
  <si>
    <t xml:space="preserve">Quote No.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</si>
</sst>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dd\,\ d\ mmmm\,\ yyyy"/>
  </numFmts>
  <fonts count="57" x14ac:knownFonts="1">
    <font>
      <sz val="10"/>
      <color rgb="FF000000"/>
      <name val="Times New Roman"/>
      <scheme val="minor"/>
    </font>
    <font>
      <sz val="11"/>
      <color rgb="FF000000"/>
      <name val="Times New Roman"/>
      <family val="1"/>
    </font>
    <font>
      <sz val="18"/>
      <color rgb="FF000000"/>
      <name val="Times New Roman"/>
      <family val="1"/>
    </font>
    <font>
      <sz val="10"/>
      <name val="Times New Roman"/>
      <family val="1"/>
    </font>
    <font>
      <sz val="11"/>
      <color theme="1"/>
      <name val="Times New Roman"/>
      <family val="1"/>
    </font>
    <font>
      <b/>
      <sz val="11"/>
      <color rgb="FFFFFFFF"/>
      <name val="Times New Roman"/>
      <family val="1"/>
    </font>
    <font>
      <sz val="11"/>
      <color rgb="FFFFFFFF"/>
      <name val="Arial"/>
      <family val="2"/>
    </font>
    <font>
      <sz val="11"/>
      <color theme="0"/>
      <name val="Arial"/>
      <family val="2"/>
    </font>
    <font>
      <sz val="11"/>
      <color rgb="FFFFFFFF"/>
      <name val="Times New Roman"/>
      <family val="1"/>
    </font>
    <font>
      <b/>
      <sz val="11"/>
      <color theme="1"/>
      <name val="Times New Roman"/>
      <family val="1"/>
    </font>
    <font>
      <b/>
      <sz val="11"/>
      <color rgb="FFFF0000"/>
      <name val="Times New Roman"/>
      <family val="1"/>
    </font>
    <font>
      <b/>
      <sz val="11"/>
      <color rgb="FF0070C0"/>
      <name val="Times New Roman"/>
      <family val="1"/>
    </font>
    <font>
      <b/>
      <sz val="11"/>
      <color rgb="FFFF00FF"/>
      <name val="Times New Roman"/>
      <family val="1"/>
    </font>
    <font>
      <sz val="16"/>
      <color rgb="FF1F497D"/>
      <name val="Times New Roman"/>
      <family val="1"/>
    </font>
    <font>
      <b/>
      <sz val="24"/>
      <color rgb="FF7030A0"/>
      <name val="Times New Roman"/>
      <family val="1"/>
    </font>
    <font>
      <b/>
      <sz val="14"/>
      <color rgb="FF000000"/>
      <name val="Times New Roman"/>
      <family val="1"/>
    </font>
    <font>
      <sz val="10"/>
      <color rgb="FF000000"/>
      <name val="Times New Roman"/>
      <family val="1"/>
    </font>
    <font>
      <sz val="10"/>
      <color theme="1"/>
      <name val="Times New Roman"/>
      <family val="1"/>
      <scheme val="minor"/>
    </font>
    <font>
      <sz val="16"/>
      <color theme="1"/>
      <name val="Calibri"/>
      <family val="2"/>
    </font>
    <font>
      <sz val="18"/>
      <color theme="1"/>
      <name val="Calibri"/>
      <family val="2"/>
    </font>
    <font>
      <sz val="20"/>
      <color theme="1"/>
      <name val="Calibri"/>
      <family val="2"/>
    </font>
    <font>
      <b/>
      <sz val="18"/>
      <color rgb="FFFF0000"/>
      <name val="Calibri"/>
      <family val="2"/>
    </font>
    <font>
      <sz val="14"/>
      <color theme="1"/>
      <name val="Calibri"/>
      <family val="2"/>
    </font>
    <font>
      <b/>
      <sz val="22"/>
      <color rgb="FF000000"/>
      <name val="Times New Roman"/>
      <family val="1"/>
    </font>
    <font>
      <sz val="16"/>
      <color theme="1"/>
      <name val="Times New Roman"/>
      <family val="1"/>
    </font>
    <font>
      <sz val="14"/>
      <color rgb="FF000000"/>
      <name val="Times New Roman"/>
      <family val="1"/>
    </font>
    <font>
      <sz val="16"/>
      <color rgb="FF000000"/>
      <name val="Times New Roman"/>
      <family val="1"/>
    </font>
    <font>
      <sz val="12"/>
      <color rgb="FF000000"/>
      <name val="Times New Roman"/>
      <family val="1"/>
    </font>
    <font>
      <b/>
      <sz val="14"/>
      <color theme="1"/>
      <name val="Calibri"/>
      <family val="2"/>
    </font>
    <font>
      <b/>
      <sz val="10"/>
      <color theme="1"/>
      <name val="Calibri"/>
      <family val="2"/>
    </font>
    <font>
      <b/>
      <sz val="12"/>
      <color theme="1"/>
      <name val="Calibri"/>
      <family val="2"/>
    </font>
    <font>
      <b/>
      <sz val="14"/>
      <color rgb="FF001D35"/>
      <name val="Arial"/>
      <family val="2"/>
    </font>
    <font>
      <b/>
      <sz val="16"/>
      <color theme="1"/>
      <name val="Calibri"/>
      <family val="2"/>
    </font>
    <font>
      <b/>
      <sz val="20"/>
      <color theme="1"/>
      <name val="Calibri"/>
      <family val="2"/>
    </font>
    <font>
      <sz val="17"/>
      <color rgb="FF001D35"/>
      <name val="Arial"/>
      <family val="2"/>
    </font>
    <font>
      <b/>
      <sz val="24"/>
      <color rgb="FF000000"/>
      <name val="Times New Roman"/>
      <family val="1"/>
    </font>
    <font>
      <b/>
      <sz val="18"/>
      <color theme="1"/>
      <name val="Calibri"/>
      <family val="2"/>
    </font>
    <font>
      <b/>
      <sz val="16"/>
      <color theme="1"/>
      <name val="Times New Roman"/>
      <family val="1"/>
    </font>
    <font>
      <b/>
      <sz val="10"/>
      <color rgb="FF000000"/>
      <name val="Times New Roman"/>
      <family val="1"/>
    </font>
    <font>
      <b/>
      <sz val="16"/>
      <color rgb="FF000000"/>
      <name val="Times New Roman"/>
      <family val="1"/>
    </font>
    <font>
      <sz val="14"/>
      <color rgb="FF202124"/>
      <name val="Arial"/>
      <family val="2"/>
    </font>
    <font>
      <u/>
      <sz val="14"/>
      <color theme="1"/>
      <name val="Times New Roman"/>
      <family val="1"/>
    </font>
    <font>
      <u/>
      <sz val="10"/>
      <color theme="10"/>
      <name val="Times New Roman"/>
      <family val="1"/>
    </font>
    <font>
      <b/>
      <sz val="8"/>
      <color rgb="FF3C4043"/>
      <name val="Arial"/>
      <family val="2"/>
    </font>
    <font>
      <sz val="10"/>
      <color theme="1"/>
      <name val="Times New Roman"/>
      <family val="1"/>
    </font>
    <font>
      <b/>
      <u/>
      <sz val="16"/>
      <color theme="1"/>
      <name val="Times New Roman"/>
      <family val="1"/>
    </font>
    <font>
      <b/>
      <sz val="12"/>
      <color theme="1"/>
      <name val="Times New Roman"/>
      <family val="1"/>
    </font>
    <font>
      <sz val="9"/>
      <color theme="1"/>
      <name val="Times New Roman"/>
      <family val="1"/>
    </font>
    <font>
      <b/>
      <u/>
      <sz val="12"/>
      <color theme="1"/>
      <name val="Times New Roman"/>
      <family val="1"/>
    </font>
    <font>
      <b/>
      <u/>
      <sz val="12"/>
      <color rgb="FF000000"/>
      <name val="Times New Roman"/>
      <family val="1"/>
    </font>
    <font>
      <b/>
      <u/>
      <sz val="12"/>
      <color rgb="FF000000"/>
      <name val="Times New Roman"/>
      <family val="1"/>
    </font>
    <font>
      <b/>
      <u/>
      <sz val="18"/>
      <color theme="1"/>
      <name val="Arial"/>
      <family val="2"/>
    </font>
    <font>
      <b/>
      <sz val="12"/>
      <color theme="1"/>
      <name val="Arial"/>
      <family val="2"/>
    </font>
    <font>
      <b/>
      <u/>
      <sz val="12"/>
      <color theme="1"/>
      <name val="Times New Roman"/>
      <family val="1"/>
    </font>
    <font>
      <b/>
      <sz val="11"/>
      <color rgb="FF000000"/>
      <name val="Times New Roman"/>
      <family val="1"/>
    </font>
    <font>
      <sz val="12"/>
      <color theme="1"/>
      <name val="Times New Roman"/>
      <family val="1"/>
    </font>
    <font>
      <sz val="11"/>
      <color theme="1"/>
      <name val="Times New Roman"/>
      <family val="1"/>
    </font>
  </fonts>
  <fills count="10">
    <fill>
      <patternFill patternType="none"/>
    </fill>
    <fill>
      <patternFill patternType="gray125"/>
    </fill>
    <fill>
      <patternFill patternType="solid">
        <fgColor theme="0"/>
        <bgColor theme="0"/>
      </patternFill>
    </fill>
    <fill>
      <patternFill patternType="solid">
        <fgColor rgb="FFE6F1E3"/>
        <bgColor rgb="FFE6F1E3"/>
      </patternFill>
    </fill>
    <fill>
      <patternFill patternType="solid">
        <fgColor rgb="FF37761C"/>
        <bgColor rgb="FF37761C"/>
      </patternFill>
    </fill>
    <fill>
      <patternFill patternType="solid">
        <fgColor rgb="FFFFFF00"/>
        <bgColor rgb="FFFFFF00"/>
      </patternFill>
    </fill>
    <fill>
      <patternFill patternType="solid">
        <fgColor rgb="FFB6D7A8"/>
        <bgColor rgb="FFB6D7A8"/>
      </patternFill>
    </fill>
    <fill>
      <patternFill patternType="solid">
        <fgColor rgb="FFB8CCE4"/>
        <bgColor rgb="FFB8CCE4"/>
      </patternFill>
    </fill>
    <fill>
      <patternFill patternType="solid">
        <fgColor rgb="FF92D050"/>
        <bgColor rgb="FF92D050"/>
      </patternFill>
    </fill>
    <fill>
      <patternFill patternType="solid">
        <fgColor rgb="FF6AA84F"/>
        <bgColor rgb="FF6AA84F"/>
      </patternFill>
    </fill>
  </fills>
  <borders count="62">
    <border>
      <left/>
      <right/>
      <top/>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style="thin">
        <color rgb="FF000000"/>
      </bottom>
      <diagonal/>
    </border>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right style="medium">
        <color rgb="FF000000"/>
      </right>
      <top style="medium">
        <color rgb="FF000000"/>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medium">
        <color rgb="FFDADCE0"/>
      </left>
      <right style="medium">
        <color rgb="FFDADCE0"/>
      </right>
      <top style="medium">
        <color rgb="FFDADCE0"/>
      </top>
      <bottom style="medium">
        <color rgb="FFDADCE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19">
    <xf numFmtId="0" fontId="0" fillId="0" borderId="0" xfId="0" applyAlignment="1">
      <alignment horizontal="left" vertical="top"/>
    </xf>
    <xf numFmtId="0" fontId="1" fillId="2" borderId="1" xfId="0" applyFont="1" applyFill="1" applyBorder="1" applyAlignment="1">
      <alignment horizontal="left" vertical="top"/>
    </xf>
    <xf numFmtId="0" fontId="4" fillId="3" borderId="5"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13" xfId="0" applyFont="1" applyFill="1" applyBorder="1" applyAlignment="1">
      <alignment horizontal="left" vertical="center" wrapText="1"/>
    </xf>
    <xf numFmtId="0" fontId="1" fillId="2" borderId="1" xfId="0" applyFont="1" applyFill="1" applyBorder="1" applyAlignment="1">
      <alignment horizontal="left" vertical="center" wrapText="1"/>
    </xf>
    <xf numFmtId="0" fontId="5" fillId="0" borderId="0" xfId="0" applyFont="1" applyAlignment="1">
      <alignment horizontal="left" vertical="top"/>
    </xf>
    <xf numFmtId="0" fontId="6" fillId="4" borderId="5" xfId="0" applyFont="1" applyFill="1" applyBorder="1" applyAlignment="1">
      <alignment horizontal="center" vertical="center" wrapText="1"/>
    </xf>
    <xf numFmtId="0" fontId="4" fillId="3" borderId="16" xfId="0" applyFont="1" applyFill="1" applyBorder="1" applyAlignment="1">
      <alignment horizontal="center" vertical="center" wrapText="1"/>
    </xf>
    <xf numFmtId="16" fontId="4" fillId="3" borderId="12" xfId="0" applyNumberFormat="1" applyFont="1" applyFill="1" applyBorder="1" applyAlignment="1">
      <alignment horizontal="center" vertical="center" wrapText="1"/>
    </xf>
    <xf numFmtId="1" fontId="4" fillId="3" borderId="13" xfId="0" applyNumberFormat="1" applyFont="1" applyFill="1" applyBorder="1" applyAlignment="1">
      <alignment horizontal="left" vertical="center" wrapText="1"/>
    </xf>
    <xf numFmtId="2" fontId="1" fillId="2" borderId="1" xfId="0" applyNumberFormat="1" applyFont="1" applyFill="1" applyBorder="1" applyAlignment="1">
      <alignment horizontal="left" vertical="top"/>
    </xf>
    <xf numFmtId="0" fontId="4" fillId="3" borderId="17" xfId="0" applyFont="1" applyFill="1" applyBorder="1" applyAlignment="1">
      <alignment horizontal="center" vertical="center" wrapText="1"/>
    </xf>
    <xf numFmtId="2" fontId="1" fillId="2" borderId="18" xfId="0" applyNumberFormat="1" applyFont="1" applyFill="1" applyBorder="1" applyAlignment="1">
      <alignment horizontal="left" vertical="top"/>
    </xf>
    <xf numFmtId="0" fontId="8" fillId="4" borderId="17" xfId="0" applyFont="1" applyFill="1" applyBorder="1" applyAlignment="1">
      <alignment horizontal="center" vertical="center" wrapText="1"/>
    </xf>
    <xf numFmtId="0" fontId="8" fillId="4" borderId="19" xfId="0" applyFont="1" applyFill="1" applyBorder="1" applyAlignment="1">
      <alignment horizontal="center" vertical="center" wrapText="1"/>
    </xf>
    <xf numFmtId="0" fontId="8" fillId="4" borderId="20" xfId="0" applyFont="1" applyFill="1" applyBorder="1" applyAlignment="1">
      <alignment horizontal="center" vertical="center" wrapText="1"/>
    </xf>
    <xf numFmtId="0" fontId="8" fillId="4" borderId="2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164" fontId="10" fillId="3" borderId="5" xfId="0" applyNumberFormat="1" applyFont="1" applyFill="1" applyBorder="1" applyAlignment="1">
      <alignment horizontal="center" vertical="center" shrinkToFit="1"/>
    </xf>
    <xf numFmtId="0" fontId="9" fillId="3" borderId="18" xfId="0" applyFont="1" applyFill="1" applyBorder="1" applyAlignment="1">
      <alignment horizontal="center" vertical="center" wrapText="1"/>
    </xf>
    <xf numFmtId="0" fontId="4" fillId="3" borderId="27" xfId="0" applyFont="1" applyFill="1" applyBorder="1" applyAlignment="1">
      <alignment horizontal="center" vertical="top" wrapText="1"/>
    </xf>
    <xf numFmtId="0" fontId="9" fillId="3" borderId="27" xfId="0" applyFont="1" applyFill="1" applyBorder="1" applyAlignment="1">
      <alignment horizontal="center" vertical="top" wrapText="1"/>
    </xf>
    <xf numFmtId="0" fontId="9" fillId="3" borderId="28" xfId="0" applyFont="1" applyFill="1" applyBorder="1" applyAlignment="1">
      <alignment horizontal="center" vertical="center" wrapText="1"/>
    </xf>
    <xf numFmtId="0" fontId="9" fillId="3" borderId="21" xfId="0" applyFont="1" applyFill="1" applyBorder="1" applyAlignment="1">
      <alignment horizontal="center" vertical="center" wrapText="1"/>
    </xf>
    <xf numFmtId="18" fontId="12" fillId="3" borderId="28" xfId="0" applyNumberFormat="1" applyFont="1" applyFill="1" applyBorder="1" applyAlignment="1">
      <alignment horizontal="center" vertical="center" wrapText="1"/>
    </xf>
    <xf numFmtId="18" fontId="12" fillId="3" borderId="18" xfId="0" applyNumberFormat="1" applyFont="1" applyFill="1" applyBorder="1" applyAlignment="1">
      <alignment horizontal="center" vertical="center" wrapText="1"/>
    </xf>
    <xf numFmtId="0" fontId="4" fillId="2" borderId="31" xfId="0" applyFont="1" applyFill="1" applyBorder="1" applyAlignment="1">
      <alignment horizontal="center" vertical="center" wrapText="1"/>
    </xf>
    <xf numFmtId="0" fontId="1" fillId="2" borderId="18" xfId="0" applyFont="1" applyFill="1" applyBorder="1" applyAlignment="1">
      <alignment horizontal="center" vertical="center"/>
    </xf>
    <xf numFmtId="2" fontId="1" fillId="2" borderId="33" xfId="0" applyNumberFormat="1" applyFont="1" applyFill="1" applyBorder="1" applyAlignment="1">
      <alignment horizontal="center" vertical="center"/>
    </xf>
    <xf numFmtId="2" fontId="1" fillId="2" borderId="18" xfId="0" applyNumberFormat="1" applyFont="1" applyFill="1" applyBorder="1" applyAlignment="1">
      <alignment horizontal="center" vertical="top"/>
    </xf>
    <xf numFmtId="2" fontId="1" fillId="2" borderId="1" xfId="0" applyNumberFormat="1" applyFont="1" applyFill="1" applyBorder="1" applyAlignment="1">
      <alignment horizontal="center" vertical="top"/>
    </xf>
    <xf numFmtId="2" fontId="1" fillId="2" borderId="34" xfId="0" applyNumberFormat="1" applyFont="1" applyFill="1" applyBorder="1" applyAlignment="1">
      <alignment horizontal="center" vertical="center"/>
    </xf>
    <xf numFmtId="0" fontId="1" fillId="0" borderId="41" xfId="0" applyFont="1" applyBorder="1" applyAlignment="1">
      <alignment horizontal="left" vertical="center"/>
    </xf>
    <xf numFmtId="0" fontId="1" fillId="0" borderId="0" xfId="0" applyFont="1" applyAlignment="1">
      <alignment horizontal="left" vertical="center" wrapText="1"/>
    </xf>
    <xf numFmtId="0" fontId="1" fillId="2" borderId="1" xfId="0" applyFont="1" applyFill="1" applyBorder="1" applyAlignment="1">
      <alignment horizontal="left" vertical="top" wrapText="1"/>
    </xf>
    <xf numFmtId="0" fontId="1" fillId="0" borderId="0" xfId="0" applyFont="1" applyAlignment="1">
      <alignment horizontal="left" vertical="center"/>
    </xf>
    <xf numFmtId="0" fontId="1" fillId="0" borderId="42" xfId="0" applyFont="1" applyBorder="1" applyAlignment="1">
      <alignment horizontal="left" vertical="center"/>
    </xf>
    <xf numFmtId="0" fontId="16" fillId="0" borderId="0" xfId="0" applyFont="1" applyAlignment="1">
      <alignment horizontal="left" vertical="top"/>
    </xf>
    <xf numFmtId="0" fontId="17" fillId="0" borderId="0" xfId="0" applyFont="1" applyAlignment="1">
      <alignment horizontal="left" vertical="top"/>
    </xf>
    <xf numFmtId="0" fontId="16" fillId="0" borderId="0" xfId="0" applyFont="1" applyAlignment="1">
      <alignment horizontal="left" vertical="center"/>
    </xf>
    <xf numFmtId="0" fontId="16" fillId="0" borderId="0" xfId="0" quotePrefix="1" applyFont="1" applyAlignment="1">
      <alignment horizontal="left" vertical="top"/>
    </xf>
    <xf numFmtId="0" fontId="18" fillId="0" borderId="18" xfId="0" applyFont="1" applyBorder="1" applyAlignment="1">
      <alignment horizontal="center"/>
    </xf>
    <xf numFmtId="0" fontId="19" fillId="0" borderId="18" xfId="0" applyFont="1" applyBorder="1" applyAlignment="1">
      <alignment horizontal="center"/>
    </xf>
    <xf numFmtId="0" fontId="20" fillId="0" borderId="18" xfId="0" applyFont="1" applyBorder="1" applyAlignment="1">
      <alignment horizontal="center"/>
    </xf>
    <xf numFmtId="0" fontId="21" fillId="0" borderId="18" xfId="0" applyFont="1" applyBorder="1" applyAlignment="1">
      <alignment horizontal="center"/>
    </xf>
    <xf numFmtId="2" fontId="16" fillId="0" borderId="0" xfId="0" applyNumberFormat="1" applyFont="1" applyAlignment="1">
      <alignment horizontal="left" vertical="top"/>
    </xf>
    <xf numFmtId="0" fontId="19" fillId="0" borderId="6" xfId="0" applyFont="1" applyBorder="1" applyAlignment="1">
      <alignment horizontal="center" wrapText="1"/>
    </xf>
    <xf numFmtId="0" fontId="22" fillId="0" borderId="18" xfId="0" applyFont="1" applyBorder="1" applyAlignment="1">
      <alignment horizontal="center" vertical="center"/>
    </xf>
    <xf numFmtId="0" fontId="22" fillId="0" borderId="18" xfId="0" applyFont="1" applyBorder="1" applyAlignment="1">
      <alignment horizontal="center" wrapText="1"/>
    </xf>
    <xf numFmtId="0" fontId="22" fillId="0" borderId="18" xfId="0" applyFont="1" applyBorder="1" applyAlignment="1">
      <alignment horizontal="center"/>
    </xf>
    <xf numFmtId="0" fontId="16" fillId="0" borderId="18" xfId="0" applyFont="1" applyBorder="1" applyAlignment="1">
      <alignment horizontal="left"/>
    </xf>
    <xf numFmtId="0" fontId="18" fillId="0" borderId="18" xfId="0" applyFont="1" applyBorder="1" applyAlignment="1">
      <alignment horizontal="center" wrapText="1"/>
    </xf>
    <xf numFmtId="0" fontId="18" fillId="0" borderId="18" xfId="0" applyFont="1" applyBorder="1" applyAlignment="1">
      <alignment horizontal="left"/>
    </xf>
    <xf numFmtId="3" fontId="18" fillId="0" borderId="18" xfId="0" applyNumberFormat="1" applyFont="1" applyBorder="1" applyAlignment="1">
      <alignment horizontal="left"/>
    </xf>
    <xf numFmtId="0" fontId="16" fillId="0" borderId="0" xfId="0" applyFont="1" applyAlignment="1">
      <alignment horizontal="left"/>
    </xf>
    <xf numFmtId="0" fontId="22" fillId="0" borderId="6" xfId="0" applyFont="1" applyBorder="1" applyAlignment="1">
      <alignment horizontal="center" wrapText="1"/>
    </xf>
    <xf numFmtId="3" fontId="18" fillId="0" borderId="51" xfId="0" applyNumberFormat="1" applyFont="1" applyBorder="1" applyAlignment="1">
      <alignment horizontal="left"/>
    </xf>
    <xf numFmtId="0" fontId="23" fillId="0" borderId="0" xfId="0" applyFont="1" applyAlignment="1">
      <alignment horizontal="left" vertical="top"/>
    </xf>
    <xf numFmtId="3" fontId="24" fillId="0" borderId="18" xfId="0" applyNumberFormat="1" applyFont="1" applyBorder="1" applyAlignment="1">
      <alignment horizontal="left"/>
    </xf>
    <xf numFmtId="0" fontId="18" fillId="0" borderId="0" xfId="0" applyFont="1" applyAlignment="1">
      <alignment horizontal="left"/>
    </xf>
    <xf numFmtId="0" fontId="18" fillId="0" borderId="26" xfId="0" applyFont="1" applyBorder="1" applyAlignment="1">
      <alignment horizontal="left"/>
    </xf>
    <xf numFmtId="0" fontId="22" fillId="0" borderId="0" xfId="0" applyFont="1" applyAlignment="1">
      <alignment horizontal="left"/>
    </xf>
    <xf numFmtId="0" fontId="19" fillId="0" borderId="18" xfId="0" applyFont="1" applyBorder="1" applyAlignment="1">
      <alignment horizontal="left"/>
    </xf>
    <xf numFmtId="3" fontId="19" fillId="0" borderId="18" xfId="0" applyNumberFormat="1" applyFont="1" applyBorder="1" applyAlignment="1">
      <alignment horizontal="left"/>
    </xf>
    <xf numFmtId="0" fontId="22" fillId="0" borderId="0" xfId="0" applyFont="1" applyAlignment="1">
      <alignment horizontal="left" wrapText="1"/>
    </xf>
    <xf numFmtId="3" fontId="22" fillId="0" borderId="18" xfId="0" applyNumberFormat="1" applyFont="1" applyBorder="1" applyAlignment="1">
      <alignment horizontal="left"/>
    </xf>
    <xf numFmtId="0" fontId="25" fillId="0" borderId="0" xfId="0" applyFont="1" applyAlignment="1">
      <alignment horizontal="left" vertical="top"/>
    </xf>
    <xf numFmtId="3" fontId="18" fillId="0" borderId="0" xfId="0" applyNumberFormat="1" applyFont="1" applyAlignment="1">
      <alignment horizontal="center"/>
    </xf>
    <xf numFmtId="3" fontId="2" fillId="0" borderId="0" xfId="0" applyNumberFormat="1" applyFont="1" applyAlignment="1">
      <alignment horizontal="left" vertical="top"/>
    </xf>
    <xf numFmtId="3" fontId="22" fillId="0" borderId="0" xfId="0" applyNumberFormat="1" applyFont="1" applyAlignment="1">
      <alignment horizontal="center"/>
    </xf>
    <xf numFmtId="0" fontId="18" fillId="0" borderId="0" xfId="0" applyFont="1" applyAlignment="1">
      <alignment horizontal="center"/>
    </xf>
    <xf numFmtId="3" fontId="26" fillId="0" borderId="0" xfId="0" applyNumberFormat="1" applyFont="1" applyAlignment="1">
      <alignment horizontal="left" vertical="top"/>
    </xf>
    <xf numFmtId="3" fontId="18" fillId="0" borderId="0" xfId="0" applyNumberFormat="1" applyFont="1" applyAlignment="1">
      <alignment horizontal="left"/>
    </xf>
    <xf numFmtId="0" fontId="19" fillId="0" borderId="0" xfId="0" applyFont="1" applyAlignment="1">
      <alignment horizontal="center"/>
    </xf>
    <xf numFmtId="0" fontId="22" fillId="0" borderId="0" xfId="0" applyFont="1" applyAlignment="1">
      <alignment horizontal="center"/>
    </xf>
    <xf numFmtId="3" fontId="18" fillId="0" borderId="0" xfId="0" applyNumberFormat="1" applyFont="1" applyAlignment="1">
      <alignment horizontal="center" vertical="center"/>
    </xf>
    <xf numFmtId="0" fontId="22" fillId="0" borderId="0" xfId="0" applyFont="1" applyAlignment="1">
      <alignment horizontal="left" vertical="top"/>
    </xf>
    <xf numFmtId="3" fontId="27" fillId="0" borderId="0" xfId="0" applyNumberFormat="1" applyFont="1" applyAlignment="1">
      <alignment horizontal="left" vertical="top"/>
    </xf>
    <xf numFmtId="0" fontId="28" fillId="0" borderId="0" xfId="0" applyFont="1" applyAlignment="1">
      <alignment horizontal="left"/>
    </xf>
    <xf numFmtId="3" fontId="25" fillId="0" borderId="0" xfId="0" applyNumberFormat="1" applyFont="1" applyAlignment="1">
      <alignment horizontal="left" vertical="top"/>
    </xf>
    <xf numFmtId="0" fontId="28" fillId="0" borderId="0" xfId="0" applyFont="1" applyAlignment="1">
      <alignment horizontal="center"/>
    </xf>
    <xf numFmtId="0" fontId="28" fillId="0" borderId="0" xfId="0" applyFont="1" applyAlignment="1">
      <alignment horizontal="left" wrapText="1"/>
    </xf>
    <xf numFmtId="0" fontId="29" fillId="0" borderId="0" xfId="0" applyFont="1" applyAlignment="1">
      <alignment horizontal="center"/>
    </xf>
    <xf numFmtId="0" fontId="30" fillId="0" borderId="0" xfId="0" applyFont="1" applyAlignment="1">
      <alignment horizontal="left"/>
    </xf>
    <xf numFmtId="0" fontId="31" fillId="0" borderId="0" xfId="0" applyFont="1" applyAlignment="1">
      <alignment horizontal="left"/>
    </xf>
    <xf numFmtId="0" fontId="32" fillId="0" borderId="0" xfId="0" applyFont="1" applyAlignment="1">
      <alignment horizontal="left"/>
    </xf>
    <xf numFmtId="0" fontId="33" fillId="0" borderId="0" xfId="0" applyFont="1" applyAlignment="1">
      <alignment horizontal="center"/>
    </xf>
    <xf numFmtId="0" fontId="34" fillId="0" borderId="0" xfId="0" applyFont="1" applyAlignment="1">
      <alignment horizontal="left"/>
    </xf>
    <xf numFmtId="0" fontId="19" fillId="0" borderId="0" xfId="0" applyFont="1" applyAlignment="1">
      <alignment horizontal="left"/>
    </xf>
    <xf numFmtId="0" fontId="18" fillId="0" borderId="0" xfId="0" applyFont="1" applyAlignment="1">
      <alignment horizontal="left" wrapText="1"/>
    </xf>
    <xf numFmtId="0" fontId="23" fillId="0" borderId="0" xfId="0" applyFont="1" applyAlignment="1">
      <alignment horizontal="center"/>
    </xf>
    <xf numFmtId="0" fontId="35" fillId="0" borderId="0" xfId="0" applyFont="1" applyAlignment="1">
      <alignment horizontal="center"/>
    </xf>
    <xf numFmtId="0" fontId="16" fillId="0" borderId="0" xfId="0" applyFont="1" applyAlignment="1">
      <alignment horizontal="center" vertical="center"/>
    </xf>
    <xf numFmtId="4" fontId="22" fillId="0" borderId="0" xfId="0" applyNumberFormat="1" applyFont="1" applyAlignment="1">
      <alignment horizontal="center"/>
    </xf>
    <xf numFmtId="3" fontId="19" fillId="0" borderId="0" xfId="0" applyNumberFormat="1" applyFont="1" applyAlignment="1">
      <alignment horizontal="center"/>
    </xf>
    <xf numFmtId="0" fontId="19" fillId="0" borderId="0" xfId="0" applyFont="1" applyAlignment="1">
      <alignment horizontal="left" wrapText="1"/>
    </xf>
    <xf numFmtId="3" fontId="32" fillId="0" borderId="0" xfId="0" applyNumberFormat="1" applyFont="1" applyAlignment="1">
      <alignment horizontal="center"/>
    </xf>
    <xf numFmtId="0" fontId="32" fillId="0" borderId="0" xfId="0" applyFont="1" applyAlignment="1">
      <alignment horizontal="center"/>
    </xf>
    <xf numFmtId="3" fontId="28" fillId="0" borderId="0" xfId="0" applyNumberFormat="1" applyFont="1" applyAlignment="1">
      <alignment horizontal="left"/>
    </xf>
    <xf numFmtId="3" fontId="28" fillId="0" borderId="0" xfId="0" applyNumberFormat="1" applyFont="1" applyAlignment="1">
      <alignment horizontal="center"/>
    </xf>
    <xf numFmtId="3" fontId="36" fillId="0" borderId="0" xfId="0" applyNumberFormat="1" applyFont="1" applyAlignment="1">
      <alignment horizontal="center"/>
    </xf>
    <xf numFmtId="0" fontId="20" fillId="0" borderId="0" xfId="0" applyFont="1" applyAlignment="1">
      <alignment horizontal="left"/>
    </xf>
    <xf numFmtId="0" fontId="18" fillId="0" borderId="0" xfId="0" applyFont="1" applyAlignment="1">
      <alignment horizontal="right" vertical="center" wrapText="1"/>
    </xf>
    <xf numFmtId="3" fontId="19" fillId="0" borderId="0" xfId="0" applyNumberFormat="1" applyFont="1" applyAlignment="1">
      <alignment horizontal="left"/>
    </xf>
    <xf numFmtId="3" fontId="20" fillId="0" borderId="0" xfId="0" applyNumberFormat="1" applyFont="1" applyAlignment="1">
      <alignment horizontal="center"/>
    </xf>
    <xf numFmtId="0" fontId="16" fillId="0" borderId="0" xfId="0" applyFont="1" applyAlignment="1">
      <alignment horizontal="center"/>
    </xf>
    <xf numFmtId="3" fontId="22" fillId="0" borderId="0" xfId="0" applyNumberFormat="1" applyFont="1" applyAlignment="1">
      <alignment horizontal="left"/>
    </xf>
    <xf numFmtId="3" fontId="24" fillId="0" borderId="0" xfId="0" applyNumberFormat="1" applyFont="1" applyAlignment="1">
      <alignment horizontal="left"/>
    </xf>
    <xf numFmtId="3" fontId="19" fillId="0" borderId="0" xfId="0" applyNumberFormat="1" applyFont="1" applyAlignment="1">
      <alignment horizontal="center" wrapText="1"/>
    </xf>
    <xf numFmtId="4" fontId="19" fillId="0" borderId="0" xfId="0" applyNumberFormat="1" applyFont="1" applyAlignment="1">
      <alignment horizontal="center"/>
    </xf>
    <xf numFmtId="0" fontId="37" fillId="0" borderId="0" xfId="0" applyFont="1" applyAlignment="1">
      <alignment horizontal="center"/>
    </xf>
    <xf numFmtId="0" fontId="4" fillId="3" borderId="21" xfId="0" applyFont="1" applyFill="1" applyBorder="1" applyAlignment="1">
      <alignment horizontal="center" vertical="center" wrapText="1"/>
    </xf>
    <xf numFmtId="0" fontId="38" fillId="0" borderId="0" xfId="0" applyFont="1" applyAlignment="1">
      <alignment horizontal="center" vertical="center"/>
    </xf>
    <xf numFmtId="0" fontId="15" fillId="0" borderId="0" xfId="0"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left" vertical="center" wrapText="1"/>
    </xf>
    <xf numFmtId="0" fontId="41" fillId="0" borderId="0" xfId="0" applyFont="1" applyAlignment="1">
      <alignment horizontal="left" vertical="center" wrapText="1"/>
    </xf>
    <xf numFmtId="0" fontId="42" fillId="0" borderId="0" xfId="0" applyFont="1" applyAlignment="1">
      <alignment horizontal="center" vertical="center" wrapText="1"/>
    </xf>
    <xf numFmtId="0" fontId="43" fillId="0" borderId="0" xfId="0" applyFont="1" applyAlignment="1">
      <alignment horizontal="center" vertical="center" wrapText="1"/>
    </xf>
    <xf numFmtId="0" fontId="43" fillId="0" borderId="52" xfId="0" applyFont="1" applyBorder="1" applyAlignment="1">
      <alignment horizontal="center" vertical="center" wrapText="1"/>
    </xf>
    <xf numFmtId="0" fontId="23" fillId="0" borderId="0" xfId="0" applyFont="1" applyAlignment="1">
      <alignment horizontal="center" vertical="center"/>
    </xf>
    <xf numFmtId="0" fontId="44" fillId="0" borderId="0" xfId="0" applyFont="1" applyAlignment="1">
      <alignment horizontal="left" vertical="top" wrapText="1"/>
    </xf>
    <xf numFmtId="0" fontId="16" fillId="0" borderId="0" xfId="0" applyFont="1" applyAlignment="1">
      <alignment horizontal="left" vertical="top" wrapText="1"/>
    </xf>
    <xf numFmtId="0" fontId="16" fillId="0" borderId="41" xfId="0" applyFont="1" applyBorder="1" applyAlignment="1">
      <alignment horizontal="left" vertical="top"/>
    </xf>
    <xf numFmtId="0" fontId="16" fillId="0" borderId="42" xfId="0" applyFont="1" applyBorder="1" applyAlignment="1">
      <alignment horizontal="left" vertical="top"/>
    </xf>
    <xf numFmtId="0" fontId="46" fillId="9" borderId="5" xfId="0" applyFont="1" applyFill="1" applyBorder="1" applyAlignment="1">
      <alignment horizontal="center" vertical="center" wrapText="1"/>
    </xf>
    <xf numFmtId="0" fontId="46" fillId="9" borderId="18" xfId="0" applyFont="1" applyFill="1" applyBorder="1" applyAlignment="1">
      <alignment horizontal="center" vertical="center" wrapText="1"/>
    </xf>
    <xf numFmtId="0" fontId="46" fillId="9" borderId="21" xfId="0" applyFont="1" applyFill="1" applyBorder="1" applyAlignment="1">
      <alignment horizontal="center" vertical="center" wrapText="1"/>
    </xf>
    <xf numFmtId="0" fontId="47" fillId="3" borderId="5" xfId="0" applyFont="1" applyFill="1" applyBorder="1" applyAlignment="1">
      <alignment horizontal="center" vertical="center" wrapText="1"/>
    </xf>
    <xf numFmtId="0" fontId="47" fillId="3" borderId="18" xfId="0" applyFont="1" applyFill="1" applyBorder="1" applyAlignment="1">
      <alignment horizontal="center" vertical="center" wrapText="1"/>
    </xf>
    <xf numFmtId="0" fontId="47" fillId="3" borderId="21" xfId="0" applyFont="1" applyFill="1" applyBorder="1" applyAlignment="1">
      <alignment horizontal="center" vertical="center" wrapText="1"/>
    </xf>
    <xf numFmtId="0" fontId="16" fillId="0" borderId="38" xfId="0" applyFont="1" applyBorder="1" applyAlignment="1">
      <alignment horizontal="left" vertical="top"/>
    </xf>
    <xf numFmtId="0" fontId="16" fillId="0" borderId="39" xfId="0" applyFont="1" applyBorder="1" applyAlignment="1">
      <alignment horizontal="left" vertical="top"/>
    </xf>
    <xf numFmtId="0" fontId="16" fillId="0" borderId="40" xfId="0" applyFont="1" applyBorder="1" applyAlignment="1">
      <alignment horizontal="left" vertical="top"/>
    </xf>
    <xf numFmtId="0" fontId="4" fillId="0" borderId="53" xfId="0" applyFont="1" applyBorder="1" applyAlignment="1">
      <alignment horizontal="left" vertical="top"/>
    </xf>
    <xf numFmtId="0" fontId="16" fillId="0" borderId="51" xfId="0" applyFont="1" applyBorder="1" applyAlignment="1">
      <alignment horizontal="left" vertical="top"/>
    </xf>
    <xf numFmtId="0" fontId="16" fillId="0" borderId="54" xfId="0" applyFont="1" applyBorder="1" applyAlignment="1">
      <alignment horizontal="left" vertical="top"/>
    </xf>
    <xf numFmtId="0" fontId="52" fillId="9" borderId="24" xfId="0" applyFont="1" applyFill="1" applyBorder="1" applyAlignment="1">
      <alignment horizontal="center" vertical="center" wrapText="1"/>
    </xf>
    <xf numFmtId="0" fontId="52" fillId="9" borderId="25" xfId="0" applyFont="1" applyFill="1" applyBorder="1" applyAlignment="1">
      <alignment horizontal="center" vertical="center" wrapText="1"/>
    </xf>
    <xf numFmtId="0" fontId="52" fillId="9" borderId="55"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1" fillId="0" borderId="41" xfId="0" applyFont="1" applyBorder="1" applyAlignment="1">
      <alignment horizontal="left" vertical="top"/>
    </xf>
    <xf numFmtId="0" fontId="9" fillId="3" borderId="56" xfId="0" applyFont="1" applyFill="1" applyBorder="1" applyAlignment="1">
      <alignment horizontal="center" vertical="center" wrapText="1"/>
    </xf>
    <xf numFmtId="0" fontId="9" fillId="3" borderId="57" xfId="0" applyFont="1" applyFill="1" applyBorder="1" applyAlignment="1">
      <alignment horizontal="center" vertical="center" wrapText="1"/>
    </xf>
    <xf numFmtId="0" fontId="9" fillId="3" borderId="58" xfId="0" applyFont="1" applyFill="1" applyBorder="1" applyAlignment="1">
      <alignment horizontal="center" vertical="center" wrapText="1"/>
    </xf>
    <xf numFmtId="0" fontId="1" fillId="0" borderId="0" xfId="0" applyFont="1" applyAlignment="1">
      <alignment horizontal="left" vertical="top"/>
    </xf>
    <xf numFmtId="16" fontId="56" fillId="3" borderId="12" xfId="0" applyNumberFormat="1" applyFont="1" applyFill="1" applyBorder="1" applyAlignment="1">
      <alignment horizontal="center" vertical="center" wrapText="1"/>
    </xf>
    <xf numFmtId="0" fontId="56" fillId="3" borderId="17" xfId="0" applyFont="1" applyFill="1" applyBorder="1" applyAlignment="1">
      <alignment horizontal="center" vertical="center" wrapText="1"/>
    </xf>
    <xf numFmtId="0" fontId="56" fillId="3" borderId="53" xfId="0" applyFont="1" applyFill="1" applyBorder="1" applyAlignment="1">
      <alignment horizontal="center" vertical="center" wrapText="1"/>
    </xf>
    <xf numFmtId="1" fontId="4" fillId="3" borderId="15" xfId="0" applyNumberFormat="1" applyFont="1" applyFill="1" applyBorder="1" applyAlignment="1">
      <alignment horizontal="left" vertical="center" wrapText="1"/>
    </xf>
    <xf numFmtId="0" fontId="1" fillId="2" borderId="23" xfId="0" applyFont="1" applyFill="1" applyBorder="1" applyAlignment="1">
      <alignment horizontal="left" vertical="top"/>
    </xf>
    <xf numFmtId="0" fontId="56" fillId="3" borderId="14" xfId="0" applyFont="1" applyFill="1" applyBorder="1" applyAlignment="1">
      <alignment horizontal="center" vertical="center" wrapText="1"/>
    </xf>
    <xf numFmtId="0" fontId="1" fillId="0" borderId="41" xfId="0" applyFont="1" applyBorder="1" applyAlignment="1">
      <alignment horizontal="left" vertical="center"/>
    </xf>
    <xf numFmtId="0" fontId="0" fillId="0" borderId="0" xfId="0" applyAlignment="1">
      <alignment horizontal="left" vertical="top"/>
    </xf>
    <xf numFmtId="0" fontId="3" fillId="0" borderId="42" xfId="0" applyFont="1" applyBorder="1" applyAlignment="1">
      <alignment horizontal="left" vertical="top"/>
    </xf>
    <xf numFmtId="2" fontId="1" fillId="2" borderId="6" xfId="0" applyNumberFormat="1" applyFont="1" applyFill="1" applyBorder="1" applyAlignment="1">
      <alignment horizontal="center" vertical="center"/>
    </xf>
    <xf numFmtId="0" fontId="3" fillId="0" borderId="8" xfId="0" applyFont="1" applyBorder="1" applyAlignment="1">
      <alignment horizontal="left" vertical="top"/>
    </xf>
    <xf numFmtId="0" fontId="4" fillId="6" borderId="32" xfId="0" applyFont="1" applyFill="1" applyBorder="1" applyAlignment="1">
      <alignment horizontal="left" vertical="top" wrapText="1"/>
    </xf>
    <xf numFmtId="0" fontId="3" fillId="0" borderId="7" xfId="0" applyFont="1" applyBorder="1" applyAlignment="1">
      <alignment horizontal="left" vertical="top"/>
    </xf>
    <xf numFmtId="0" fontId="4" fillId="6" borderId="6" xfId="0" applyFont="1" applyFill="1" applyBorder="1" applyAlignment="1">
      <alignment horizontal="left" vertical="top" wrapText="1"/>
    </xf>
    <xf numFmtId="0" fontId="3" fillId="0" borderId="15" xfId="0" applyFont="1" applyBorder="1" applyAlignment="1">
      <alignment horizontal="left" vertical="top"/>
    </xf>
    <xf numFmtId="0" fontId="13" fillId="5" borderId="35" xfId="0" applyFont="1" applyFill="1" applyBorder="1" applyAlignment="1">
      <alignment horizontal="center" vertical="top"/>
    </xf>
    <xf numFmtId="0" fontId="3" fillId="0" borderId="36" xfId="0" applyFont="1" applyBorder="1" applyAlignment="1">
      <alignment horizontal="left" vertical="top"/>
    </xf>
    <xf numFmtId="0" fontId="3" fillId="0" borderId="37" xfId="0" applyFont="1" applyBorder="1" applyAlignment="1">
      <alignment horizontal="left" vertical="top"/>
    </xf>
    <xf numFmtId="0" fontId="11" fillId="0" borderId="38" xfId="0" applyFont="1" applyBorder="1" applyAlignment="1">
      <alignment horizontal="left" vertical="center"/>
    </xf>
    <xf numFmtId="0" fontId="3" fillId="0" borderId="39" xfId="0" applyFont="1" applyBorder="1" applyAlignment="1">
      <alignment horizontal="left" vertical="top"/>
    </xf>
    <xf numFmtId="0" fontId="3" fillId="0" borderId="40" xfId="0" applyFont="1" applyBorder="1" applyAlignment="1">
      <alignment horizontal="left" vertical="top"/>
    </xf>
    <xf numFmtId="0" fontId="6" fillId="4" borderId="6" xfId="0" applyFont="1" applyFill="1" applyBorder="1" applyAlignment="1">
      <alignment horizontal="center" vertical="center" wrapText="1"/>
    </xf>
    <xf numFmtId="0" fontId="1" fillId="3" borderId="29" xfId="0" applyFont="1" applyFill="1" applyBorder="1" applyAlignment="1">
      <alignment horizontal="left" vertical="top" wrapText="1"/>
    </xf>
    <xf numFmtId="0" fontId="3" fillId="0" borderId="30" xfId="0" applyFont="1" applyBorder="1" applyAlignment="1">
      <alignment horizontal="left" vertical="top"/>
    </xf>
    <xf numFmtId="0" fontId="3" fillId="0" borderId="10" xfId="0" applyFont="1" applyBorder="1" applyAlignment="1">
      <alignment horizontal="left" vertical="top"/>
    </xf>
    <xf numFmtId="0" fontId="4" fillId="5" borderId="32" xfId="0" applyFont="1" applyFill="1" applyBorder="1" applyAlignment="1">
      <alignment horizontal="center" vertical="top" wrapText="1"/>
    </xf>
    <xf numFmtId="0" fontId="4" fillId="5" borderId="6" xfId="0" applyFont="1" applyFill="1" applyBorder="1" applyAlignment="1">
      <alignment horizontal="center" vertical="top" wrapText="1"/>
    </xf>
    <xf numFmtId="0" fontId="4" fillId="3" borderId="6"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1" fillId="2" borderId="22" xfId="0" applyFont="1" applyFill="1" applyBorder="1" applyAlignment="1">
      <alignment horizontal="center" vertical="center"/>
    </xf>
    <xf numFmtId="0" fontId="3" fillId="0" borderId="23" xfId="0" applyFont="1" applyBorder="1" applyAlignment="1">
      <alignment horizontal="left" vertical="top"/>
    </xf>
    <xf numFmtId="0" fontId="15" fillId="8" borderId="6" xfId="0" applyFont="1" applyFill="1" applyBorder="1" applyAlignment="1">
      <alignment horizontal="left" vertical="top" wrapText="1"/>
    </xf>
    <xf numFmtId="0" fontId="2" fillId="0" borderId="2" xfId="0" applyFont="1" applyBorder="1" applyAlignment="1">
      <alignment horizontal="center" vertical="center"/>
    </xf>
    <xf numFmtId="0" fontId="3" fillId="0" borderId="3" xfId="0" applyFont="1" applyBorder="1" applyAlignment="1">
      <alignment horizontal="left" vertical="top"/>
    </xf>
    <xf numFmtId="0" fontId="3" fillId="0" borderId="4" xfId="0" applyFont="1" applyBorder="1" applyAlignment="1">
      <alignment horizontal="left" vertical="top"/>
    </xf>
    <xf numFmtId="0" fontId="4" fillId="3" borderId="9"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56" fillId="3" borderId="6" xfId="0" applyFont="1" applyFill="1" applyBorder="1" applyAlignment="1">
      <alignment horizontal="center" vertical="center" wrapText="1"/>
    </xf>
    <xf numFmtId="0" fontId="15" fillId="8" borderId="49" xfId="0" applyFont="1" applyFill="1" applyBorder="1" applyAlignment="1">
      <alignment horizontal="left" vertical="top" wrapText="1"/>
    </xf>
    <xf numFmtId="0" fontId="3" fillId="0" borderId="50" xfId="0" applyFont="1" applyBorder="1" applyAlignment="1">
      <alignment horizontal="left" vertical="top"/>
    </xf>
    <xf numFmtId="0" fontId="1" fillId="2" borderId="43" xfId="0" applyFont="1" applyFill="1" applyBorder="1" applyAlignment="1">
      <alignment horizontal="center" vertical="top"/>
    </xf>
    <xf numFmtId="0" fontId="3" fillId="0" borderId="44" xfId="0" applyFont="1" applyBorder="1" applyAlignment="1">
      <alignment horizontal="left" vertical="top"/>
    </xf>
    <xf numFmtId="0" fontId="3" fillId="0" borderId="45" xfId="0" applyFont="1" applyBorder="1" applyAlignment="1">
      <alignment horizontal="left" vertical="top"/>
    </xf>
    <xf numFmtId="0" fontId="14" fillId="7" borderId="46" xfId="0" applyFont="1" applyFill="1" applyBorder="1" applyAlignment="1">
      <alignment horizontal="center" vertical="top"/>
    </xf>
    <xf numFmtId="0" fontId="3" fillId="0" borderId="47" xfId="0" applyFont="1" applyBorder="1" applyAlignment="1">
      <alignment horizontal="left" vertical="top"/>
    </xf>
    <xf numFmtId="0" fontId="3" fillId="0" borderId="48" xfId="0" applyFont="1" applyBorder="1" applyAlignment="1">
      <alignment horizontal="left" vertical="top"/>
    </xf>
    <xf numFmtId="0" fontId="11" fillId="0" borderId="41" xfId="0" applyFont="1" applyBorder="1" applyAlignment="1">
      <alignment horizontal="left" vertical="center"/>
    </xf>
    <xf numFmtId="0" fontId="1" fillId="0" borderId="41" xfId="0" applyFont="1" applyBorder="1" applyAlignment="1">
      <alignment horizontal="left" vertical="center" wrapText="1"/>
    </xf>
    <xf numFmtId="0" fontId="1" fillId="0" borderId="41" xfId="0" applyFont="1" applyBorder="1" applyAlignment="1">
      <alignment horizontal="center" vertical="center" wrapText="1"/>
    </xf>
    <xf numFmtId="0" fontId="11" fillId="0" borderId="41" xfId="0" applyFont="1" applyBorder="1" applyAlignment="1">
      <alignment horizontal="left" vertical="center" wrapText="1"/>
    </xf>
    <xf numFmtId="0" fontId="11" fillId="0" borderId="41" xfId="0" applyFont="1" applyBorder="1" applyAlignment="1">
      <alignment horizontal="center" vertical="center"/>
    </xf>
    <xf numFmtId="0" fontId="56" fillId="3" borderId="12" xfId="0" applyFont="1" applyFill="1" applyBorder="1" applyAlignment="1">
      <alignment horizontal="center" vertical="center" wrapText="1"/>
    </xf>
    <xf numFmtId="0" fontId="56" fillId="3" borderId="7" xfId="0" applyFont="1" applyFill="1" applyBorder="1" applyAlignment="1">
      <alignment horizontal="center" vertical="center" wrapText="1"/>
    </xf>
    <xf numFmtId="0" fontId="56" fillId="3" borderId="31" xfId="0" applyFont="1" applyFill="1" applyBorder="1" applyAlignment="1">
      <alignment horizontal="center" vertical="center" wrapText="1"/>
    </xf>
    <xf numFmtId="0" fontId="1" fillId="0" borderId="41" xfId="0" applyFont="1" applyBorder="1" applyAlignment="1">
      <alignment horizontal="center" vertical="center"/>
    </xf>
    <xf numFmtId="0" fontId="16" fillId="0" borderId="41" xfId="0" applyFont="1" applyBorder="1" applyAlignment="1">
      <alignment horizontal="left" vertical="top"/>
    </xf>
    <xf numFmtId="0" fontId="45" fillId="0" borderId="38" xfId="0" applyFont="1" applyBorder="1" applyAlignment="1">
      <alignment horizontal="center" vertical="center" wrapText="1"/>
    </xf>
    <xf numFmtId="0" fontId="15" fillId="0" borderId="41" xfId="0" applyFont="1" applyBorder="1" applyAlignment="1">
      <alignment horizontal="center" vertical="top"/>
    </xf>
    <xf numFmtId="0" fontId="48" fillId="0" borderId="41" xfId="0" applyFont="1" applyBorder="1" applyAlignment="1">
      <alignment horizontal="left" vertical="top" wrapText="1"/>
    </xf>
    <xf numFmtId="0" fontId="16" fillId="0" borderId="41" xfId="0" applyFont="1" applyBorder="1" applyAlignment="1">
      <alignment horizontal="left" vertical="top" wrapText="1"/>
    </xf>
    <xf numFmtId="0" fontId="16" fillId="0" borderId="41" xfId="0" applyFont="1" applyBorder="1" applyAlignment="1">
      <alignment horizontal="center" vertical="top"/>
    </xf>
    <xf numFmtId="0" fontId="49" fillId="0" borderId="41" xfId="0" applyFont="1" applyBorder="1" applyAlignment="1">
      <alignment horizontal="left" vertical="top" wrapText="1"/>
    </xf>
    <xf numFmtId="0" fontId="50" fillId="0" borderId="41" xfId="0" applyFont="1" applyBorder="1" applyAlignment="1">
      <alignment horizontal="left" vertical="top"/>
    </xf>
    <xf numFmtId="0" fontId="16" fillId="0" borderId="59" xfId="0" applyFont="1" applyBorder="1" applyAlignment="1">
      <alignment horizontal="left" vertical="top"/>
    </xf>
    <xf numFmtId="0" fontId="3" fillId="0" borderId="60" xfId="0" applyFont="1" applyBorder="1" applyAlignment="1">
      <alignment horizontal="left" vertical="top"/>
    </xf>
    <xf numFmtId="0" fontId="3" fillId="0" borderId="61" xfId="0" applyFont="1" applyBorder="1" applyAlignment="1">
      <alignment horizontal="left" vertical="top"/>
    </xf>
    <xf numFmtId="0" fontId="51" fillId="0" borderId="2" xfId="0" applyFont="1" applyBorder="1" applyAlignment="1">
      <alignment horizontal="center" vertical="top" wrapText="1"/>
    </xf>
    <xf numFmtId="0" fontId="15" fillId="0" borderId="46" xfId="0" applyFont="1" applyBorder="1" applyAlignment="1">
      <alignment horizontal="center" vertical="center"/>
    </xf>
    <xf numFmtId="0" fontId="53" fillId="0" borderId="38"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4</xdr:col>
      <xdr:colOff>1495425</xdr:colOff>
      <xdr:row>1</xdr:row>
      <xdr:rowOff>19050</xdr:rowOff>
    </xdr:from>
    <xdr:ext cx="3133725" cy="1266825"/>
    <xdr:pic>
      <xdr:nvPicPr>
        <xdr:cNvPr id="2" name="image4.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295275</xdr:colOff>
      <xdr:row>1</xdr:row>
      <xdr:rowOff>114300</xdr:rowOff>
    </xdr:from>
    <xdr:ext cx="3076575" cy="95250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52</xdr:row>
      <xdr:rowOff>9525</xdr:rowOff>
    </xdr:from>
    <xdr:ext cx="171450" cy="180975"/>
    <xdr:pic>
      <xdr:nvPicPr>
        <xdr:cNvPr id="4" name="image2.gif" descr="*">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53</xdr:row>
      <xdr:rowOff>0</xdr:rowOff>
    </xdr:from>
    <xdr:ext cx="171450" cy="171450"/>
    <xdr:pic>
      <xdr:nvPicPr>
        <xdr:cNvPr id="5" name="image3.png" descr="*">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54</xdr:row>
      <xdr:rowOff>0</xdr:rowOff>
    </xdr:from>
    <xdr:ext cx="171450" cy="171450"/>
    <xdr:pic>
      <xdr:nvPicPr>
        <xdr:cNvPr id="6" name="image2.gif" descr="*">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55</xdr:row>
      <xdr:rowOff>0</xdr:rowOff>
    </xdr:from>
    <xdr:ext cx="171450" cy="171450"/>
    <xdr:pic>
      <xdr:nvPicPr>
        <xdr:cNvPr id="7" name="image2.gif" descr="*">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56</xdr:row>
      <xdr:rowOff>0</xdr:rowOff>
    </xdr:from>
    <xdr:ext cx="171450" cy="171450"/>
    <xdr:pic>
      <xdr:nvPicPr>
        <xdr:cNvPr id="8" name="image2.gif" descr="*">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58</xdr:row>
      <xdr:rowOff>0</xdr:rowOff>
    </xdr:from>
    <xdr:ext cx="171450" cy="171450"/>
    <xdr:pic>
      <xdr:nvPicPr>
        <xdr:cNvPr id="9" name="image2.gif" descr="*">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59</xdr:row>
      <xdr:rowOff>0</xdr:rowOff>
    </xdr:from>
    <xdr:ext cx="171450" cy="171450"/>
    <xdr:pic>
      <xdr:nvPicPr>
        <xdr:cNvPr id="10" name="image2.gif" descr="*">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59</xdr:row>
      <xdr:rowOff>0</xdr:rowOff>
    </xdr:from>
    <xdr:ext cx="171450" cy="171450"/>
    <xdr:pic>
      <xdr:nvPicPr>
        <xdr:cNvPr id="11" name="image2.gif" descr="*">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62</xdr:row>
      <xdr:rowOff>0</xdr:rowOff>
    </xdr:from>
    <xdr:ext cx="171450" cy="171450"/>
    <xdr:pic>
      <xdr:nvPicPr>
        <xdr:cNvPr id="12" name="image2.gif" descr="*">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63</xdr:row>
      <xdr:rowOff>0</xdr:rowOff>
    </xdr:from>
    <xdr:ext cx="171450" cy="171450"/>
    <xdr:pic>
      <xdr:nvPicPr>
        <xdr:cNvPr id="13" name="image2.gif" descr="*">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64</xdr:row>
      <xdr:rowOff>0</xdr:rowOff>
    </xdr:from>
    <xdr:ext cx="171450" cy="171450"/>
    <xdr:pic>
      <xdr:nvPicPr>
        <xdr:cNvPr id="14" name="image2.gif" descr="*">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65</xdr:row>
      <xdr:rowOff>0</xdr:rowOff>
    </xdr:from>
    <xdr:ext cx="171450" cy="171450"/>
    <xdr:pic>
      <xdr:nvPicPr>
        <xdr:cNvPr id="15" name="image2.gif" descr="*">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66</xdr:row>
      <xdr:rowOff>0</xdr:rowOff>
    </xdr:from>
    <xdr:ext cx="171450" cy="171450"/>
    <xdr:pic>
      <xdr:nvPicPr>
        <xdr:cNvPr id="16" name="image2.gif" descr="*">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67</xdr:row>
      <xdr:rowOff>0</xdr:rowOff>
    </xdr:from>
    <xdr:ext cx="171450" cy="171450"/>
    <xdr:pic>
      <xdr:nvPicPr>
        <xdr:cNvPr id="17" name="image2.gif" descr="*">
          <a:extLst>
            <a:ext uri="{FF2B5EF4-FFF2-40B4-BE49-F238E27FC236}">
              <a16:creationId xmlns:a16="http://schemas.microsoft.com/office/drawing/2014/main" id="{00000000-0008-0000-0000-000011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68</xdr:row>
      <xdr:rowOff>0</xdr:rowOff>
    </xdr:from>
    <xdr:ext cx="171450" cy="171450"/>
    <xdr:pic>
      <xdr:nvPicPr>
        <xdr:cNvPr id="18" name="image2.gif" descr="*">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71</xdr:row>
      <xdr:rowOff>0</xdr:rowOff>
    </xdr:from>
    <xdr:ext cx="171450" cy="171450"/>
    <xdr:pic>
      <xdr:nvPicPr>
        <xdr:cNvPr id="19" name="image2.gif" descr="*">
          <a:extLst>
            <a:ext uri="{FF2B5EF4-FFF2-40B4-BE49-F238E27FC236}">
              <a16:creationId xmlns:a16="http://schemas.microsoft.com/office/drawing/2014/main" id="{00000000-0008-0000-0000-000013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73</xdr:row>
      <xdr:rowOff>0</xdr:rowOff>
    </xdr:from>
    <xdr:ext cx="171450" cy="171450"/>
    <xdr:pic>
      <xdr:nvPicPr>
        <xdr:cNvPr id="20" name="image2.gif" descr="*">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74</xdr:row>
      <xdr:rowOff>0</xdr:rowOff>
    </xdr:from>
    <xdr:ext cx="171450" cy="171450"/>
    <xdr:pic>
      <xdr:nvPicPr>
        <xdr:cNvPr id="21" name="image2.gif" descr="*">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75</xdr:row>
      <xdr:rowOff>0</xdr:rowOff>
    </xdr:from>
    <xdr:ext cx="171450" cy="171450"/>
    <xdr:pic>
      <xdr:nvPicPr>
        <xdr:cNvPr id="22" name="image2.gif" descr="*">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76</xdr:row>
      <xdr:rowOff>0</xdr:rowOff>
    </xdr:from>
    <xdr:ext cx="171450" cy="171450"/>
    <xdr:pic>
      <xdr:nvPicPr>
        <xdr:cNvPr id="23" name="image2.gif" descr="*">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77</xdr:row>
      <xdr:rowOff>0</xdr:rowOff>
    </xdr:from>
    <xdr:ext cx="171450" cy="171450"/>
    <xdr:pic>
      <xdr:nvPicPr>
        <xdr:cNvPr id="24" name="image2.gif" descr="*">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78</xdr:row>
      <xdr:rowOff>0</xdr:rowOff>
    </xdr:from>
    <xdr:ext cx="171450" cy="171450"/>
    <xdr:pic>
      <xdr:nvPicPr>
        <xdr:cNvPr id="25" name="image2.gif" descr="*">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79</xdr:row>
      <xdr:rowOff>0</xdr:rowOff>
    </xdr:from>
    <xdr:ext cx="171450" cy="171450"/>
    <xdr:pic>
      <xdr:nvPicPr>
        <xdr:cNvPr id="26" name="image2.gif" descr="*">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88</xdr:row>
      <xdr:rowOff>0</xdr:rowOff>
    </xdr:from>
    <xdr:ext cx="171450" cy="171450"/>
    <xdr:pic>
      <xdr:nvPicPr>
        <xdr:cNvPr id="27" name="image2.gif" descr="*">
          <a:extLst>
            <a:ext uri="{FF2B5EF4-FFF2-40B4-BE49-F238E27FC236}">
              <a16:creationId xmlns:a16="http://schemas.microsoft.com/office/drawing/2014/main" id="{00000000-0008-0000-0000-00001B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89</xdr:row>
      <xdr:rowOff>0</xdr:rowOff>
    </xdr:from>
    <xdr:ext cx="171450" cy="171450"/>
    <xdr:pic>
      <xdr:nvPicPr>
        <xdr:cNvPr id="28" name="image2.gif" descr="*">
          <a:extLst>
            <a:ext uri="{FF2B5EF4-FFF2-40B4-BE49-F238E27FC236}">
              <a16:creationId xmlns:a16="http://schemas.microsoft.com/office/drawing/2014/main" id="{00000000-0008-0000-0000-00001C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90</xdr:row>
      <xdr:rowOff>0</xdr:rowOff>
    </xdr:from>
    <xdr:ext cx="171450" cy="171450"/>
    <xdr:pic>
      <xdr:nvPicPr>
        <xdr:cNvPr id="29" name="image2.gif" descr="*">
          <a:extLst>
            <a:ext uri="{FF2B5EF4-FFF2-40B4-BE49-F238E27FC236}">
              <a16:creationId xmlns:a16="http://schemas.microsoft.com/office/drawing/2014/main" id="{00000000-0008-0000-0000-00001D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91</xdr:row>
      <xdr:rowOff>0</xdr:rowOff>
    </xdr:from>
    <xdr:ext cx="171450" cy="171450"/>
    <xdr:pic>
      <xdr:nvPicPr>
        <xdr:cNvPr id="30" name="image2.gif" descr="*">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94</xdr:row>
      <xdr:rowOff>0</xdr:rowOff>
    </xdr:from>
    <xdr:ext cx="171450" cy="171450"/>
    <xdr:pic>
      <xdr:nvPicPr>
        <xdr:cNvPr id="31" name="image2.gif" descr="*">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95</xdr:row>
      <xdr:rowOff>0</xdr:rowOff>
    </xdr:from>
    <xdr:ext cx="171450" cy="171450"/>
    <xdr:pic>
      <xdr:nvPicPr>
        <xdr:cNvPr id="32" name="image2.gif" descr="*">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72</xdr:row>
      <xdr:rowOff>0</xdr:rowOff>
    </xdr:from>
    <xdr:ext cx="171450" cy="171450"/>
    <xdr:pic>
      <xdr:nvPicPr>
        <xdr:cNvPr id="33" name="image2.gif" descr="*">
          <a:extLst>
            <a:ext uri="{FF2B5EF4-FFF2-40B4-BE49-F238E27FC236}">
              <a16:creationId xmlns:a16="http://schemas.microsoft.com/office/drawing/2014/main" id="{00000000-0008-0000-0000-000021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72</xdr:row>
      <xdr:rowOff>0</xdr:rowOff>
    </xdr:from>
    <xdr:ext cx="171450" cy="171450"/>
    <xdr:pic>
      <xdr:nvPicPr>
        <xdr:cNvPr id="34" name="image2.gif" descr="*">
          <a:extLst>
            <a:ext uri="{FF2B5EF4-FFF2-40B4-BE49-F238E27FC236}">
              <a16:creationId xmlns:a16="http://schemas.microsoft.com/office/drawing/2014/main" id="{00000000-0008-0000-0000-00002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72</xdr:row>
      <xdr:rowOff>0</xdr:rowOff>
    </xdr:from>
    <xdr:ext cx="171450" cy="171450"/>
    <xdr:pic>
      <xdr:nvPicPr>
        <xdr:cNvPr id="35" name="image2.gif" descr="*">
          <a:extLst>
            <a:ext uri="{FF2B5EF4-FFF2-40B4-BE49-F238E27FC236}">
              <a16:creationId xmlns:a16="http://schemas.microsoft.com/office/drawing/2014/main" id="{00000000-0008-0000-0000-000023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82</xdr:row>
      <xdr:rowOff>0</xdr:rowOff>
    </xdr:from>
    <xdr:ext cx="171450" cy="171450"/>
    <xdr:pic>
      <xdr:nvPicPr>
        <xdr:cNvPr id="36" name="image2.gif" descr="*">
          <a:extLst>
            <a:ext uri="{FF2B5EF4-FFF2-40B4-BE49-F238E27FC236}">
              <a16:creationId xmlns:a16="http://schemas.microsoft.com/office/drawing/2014/main" id="{00000000-0008-0000-0000-00002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83</xdr:row>
      <xdr:rowOff>0</xdr:rowOff>
    </xdr:from>
    <xdr:ext cx="171450" cy="171450"/>
    <xdr:pic>
      <xdr:nvPicPr>
        <xdr:cNvPr id="37" name="image2.gif" descr="*">
          <a:extLst>
            <a:ext uri="{FF2B5EF4-FFF2-40B4-BE49-F238E27FC236}">
              <a16:creationId xmlns:a16="http://schemas.microsoft.com/office/drawing/2014/main" id="{00000000-0008-0000-0000-00002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84</xdr:row>
      <xdr:rowOff>0</xdr:rowOff>
    </xdr:from>
    <xdr:ext cx="171450" cy="171450"/>
    <xdr:pic>
      <xdr:nvPicPr>
        <xdr:cNvPr id="38" name="image2.gif" descr="*">
          <a:extLst>
            <a:ext uri="{FF2B5EF4-FFF2-40B4-BE49-F238E27FC236}">
              <a16:creationId xmlns:a16="http://schemas.microsoft.com/office/drawing/2014/main" id="{00000000-0008-0000-0000-000026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85</xdr:row>
      <xdr:rowOff>0</xdr:rowOff>
    </xdr:from>
    <xdr:ext cx="171450" cy="171450"/>
    <xdr:pic>
      <xdr:nvPicPr>
        <xdr:cNvPr id="39" name="image2.gif" descr="*">
          <a:extLst>
            <a:ext uri="{FF2B5EF4-FFF2-40B4-BE49-F238E27FC236}">
              <a16:creationId xmlns:a16="http://schemas.microsoft.com/office/drawing/2014/main" id="{00000000-0008-0000-0000-000027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86</xdr:row>
      <xdr:rowOff>0</xdr:rowOff>
    </xdr:from>
    <xdr:ext cx="171450" cy="171450"/>
    <xdr:pic>
      <xdr:nvPicPr>
        <xdr:cNvPr id="40" name="image2.gif" descr="*">
          <a:extLst>
            <a:ext uri="{FF2B5EF4-FFF2-40B4-BE49-F238E27FC236}">
              <a16:creationId xmlns:a16="http://schemas.microsoft.com/office/drawing/2014/main" id="{00000000-0008-0000-0000-000028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57</xdr:row>
      <xdr:rowOff>0</xdr:rowOff>
    </xdr:from>
    <xdr:ext cx="171450" cy="171450"/>
    <xdr:pic>
      <xdr:nvPicPr>
        <xdr:cNvPr id="41" name="image2.gif" descr="*">
          <a:extLst>
            <a:ext uri="{FF2B5EF4-FFF2-40B4-BE49-F238E27FC236}">
              <a16:creationId xmlns:a16="http://schemas.microsoft.com/office/drawing/2014/main" id="{00000000-0008-0000-0000-000029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20</xdr:row>
      <xdr:rowOff>0</xdr:rowOff>
    </xdr:from>
    <xdr:ext cx="1371600" cy="161925"/>
    <xdr:pic>
      <xdr:nvPicPr>
        <xdr:cNvPr id="2" name="image6.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21</xdr:row>
      <xdr:rowOff>0</xdr:rowOff>
    </xdr:from>
    <xdr:ext cx="933450" cy="161925"/>
    <xdr:pic>
      <xdr:nvPicPr>
        <xdr:cNvPr id="3" name="image5.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My%20Drive\Neha\Quote\VIETNAM%20QUOTE%20%20FOR%20(%204%20SEATER%20CAR%20-%201%20-%202%20Person%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2"/>
      <sheetName val="Sheet2"/>
      <sheetName val="Sheet1"/>
      <sheetName val="Table 3 (2)"/>
      <sheetName val="Sheet4"/>
      <sheetName val="Sheet3"/>
      <sheetName val="Table 3"/>
    </sheetNames>
    <sheetDataSet>
      <sheetData sheetId="0"/>
      <sheetData sheetId="1"/>
      <sheetData sheetId="2"/>
      <sheetData sheetId="3"/>
      <sheetData sheetId="4">
        <row r="1">
          <cell r="F1" t="str">
            <v xml:space="preserve">HANOI </v>
          </cell>
          <cell r="M1" t="str">
            <v>HANOI</v>
          </cell>
        </row>
        <row r="2">
          <cell r="F2" t="str">
            <v xml:space="preserve">4 star </v>
          </cell>
          <cell r="G2"/>
          <cell r="M2" t="str">
            <v xml:space="preserve">3 STAR </v>
          </cell>
          <cell r="N2"/>
        </row>
        <row r="3">
          <cell r="F3" t="str">
            <v xml:space="preserve">                                                                        The Q hotel Ha Noi ( Superior )                                                                             </v>
          </cell>
          <cell r="G3">
            <v>71.041666666666657</v>
          </cell>
          <cell r="M3" t="str">
            <v xml:space="preserve">BRILLIANT  HANOI HOTEL (Deluxe No window)                                                                                            
</v>
          </cell>
          <cell r="N3">
            <v>50.416666666666671</v>
          </cell>
        </row>
        <row r="4">
          <cell r="F4" t="str">
            <v xml:space="preserve">The Q hotel Ha Noi ( Deluxe ) </v>
          </cell>
          <cell r="G4">
            <v>77.916666666666657</v>
          </cell>
          <cell r="M4" t="str">
            <v xml:space="preserve">BRILLIANT  HANOI HOTEL (Junior Window City View)                                                                                                       
</v>
          </cell>
          <cell r="N4">
            <v>64.166666666666671</v>
          </cell>
        </row>
        <row r="5">
          <cell r="F5" t="str">
            <v xml:space="preserve"> Rex Hanoi Hotel (superior No window  )                                                                                                               
                                                                                                   </v>
          </cell>
          <cell r="G5">
            <v>68.75</v>
          </cell>
          <cell r="M5" t="str">
            <v>HANOI ANISE HOTEL &amp; SPA  (Superior TW/DBL)</v>
          </cell>
          <cell r="N5">
            <v>32.083333333333336</v>
          </cell>
        </row>
        <row r="6">
          <cell r="F6" t="str">
            <v xml:space="preserve"> Rex Hanoi Hotel (Deluxe internal window)                                                                                                               
</v>
          </cell>
          <cell r="G6">
            <v>77.916666666666657</v>
          </cell>
          <cell r="M6" t="str">
            <v xml:space="preserve"> HANOI ANISE HOTEL &amp; SPA    ( Deluxe City View TW/DBL)</v>
          </cell>
          <cell r="N6">
            <v>36.666666666666671</v>
          </cell>
        </row>
        <row r="7">
          <cell r="F7" t="str">
            <v>NESTA HOTEL - WEST LAKE (Deluxe City View )</v>
          </cell>
          <cell r="G7">
            <v>59.583333333333329</v>
          </cell>
          <cell r="M7" t="str">
            <v xml:space="preserve">DIAMOND LEGEND HOTEL (Superior Room window inside) </v>
          </cell>
          <cell r="N7">
            <v>29.791666666666664</v>
          </cell>
        </row>
        <row r="8">
          <cell r="F8" t="str">
            <v xml:space="preserve">  NESTA HOTEL - WEST LAKE (Deluxe Lake View)</v>
          </cell>
          <cell r="G8">
            <v>64.166666666666671</v>
          </cell>
          <cell r="M8" t="str">
            <v>DIAMOND LEGEND HOTEL (Deluxe Room Window or Balcony)</v>
          </cell>
          <cell r="N8">
            <v>36.666666666666671</v>
          </cell>
        </row>
        <row r="9">
          <cell r="F9" t="str">
            <v xml:space="preserve">      VICTORIA HOI AN BEACH RESORT &amp; SPA  ( Superior River View)</v>
          </cell>
          <cell r="G9">
            <v>142.08333333333331</v>
          </cell>
          <cell r="M9" t="str">
            <v>Little Diamond Hotel Hanoi ( Superior Double no window)</v>
          </cell>
          <cell r="N9">
            <v>25.208333333333336</v>
          </cell>
        </row>
        <row r="10">
          <cell r="F10" t="str">
            <v xml:space="preserve"> VICTORIA HOI AN BEACH RESORT &amp; SPA  ( Superior Garden View) </v>
          </cell>
          <cell r="G10">
            <v>169.58333333333331</v>
          </cell>
          <cell r="M10" t="str">
            <v xml:space="preserve"> Little Diamond Hotel Hanoi (Junior Double window inside)</v>
          </cell>
          <cell r="N10">
            <v>29.791666666666664</v>
          </cell>
        </row>
        <row r="11">
          <cell r="F11" t="str">
            <v xml:space="preserve">Authentic Hanoi Boutique Hotel  (Deluxe 
No window)                                                                                               
</v>
          </cell>
          <cell r="G11">
            <v>59.583333333333329</v>
          </cell>
          <cell r="M11" t="str">
            <v>JaCosmo Hotel and Spa (Superior room)</v>
          </cell>
          <cell r="N11">
            <v>41.25</v>
          </cell>
        </row>
        <row r="12">
          <cell r="F12"/>
          <cell r="G12">
            <v>0</v>
          </cell>
          <cell r="M12" t="str">
            <v xml:space="preserve">                        JaCosmo Hotel and Spa (Deluxe room)</v>
          </cell>
          <cell r="N12">
            <v>45.833333333333329</v>
          </cell>
        </row>
        <row r="13">
          <cell r="F13" t="str">
            <v xml:space="preserve">Authentic Hanoi Boutique Hotel (Deluxe with window external view) 
                                                                                         </v>
          </cell>
          <cell r="G13">
            <v>73.333333333333343</v>
          </cell>
        </row>
        <row r="14">
          <cell r="F14" t="str">
            <v>The Hanoi Club Hotel &amp; Residences     (Superior (view phố)</v>
          </cell>
          <cell r="G14">
            <v>91.666666666666657</v>
          </cell>
          <cell r="M14" t="str">
            <v>Cruise</v>
          </cell>
          <cell r="N14"/>
        </row>
        <row r="15">
          <cell r="F15" t="str">
            <v>The Hanoi Club Hotel &amp; Residences  ( Deluxe (view 1 phần hồ)</v>
          </cell>
          <cell r="G15">
            <v>100.83333333333334</v>
          </cell>
          <cell r="M15" t="str">
            <v xml:space="preserve">ERA CRUISES ( Terrace Suite ) </v>
          </cell>
          <cell r="N15">
            <v>367.58333333333337</v>
          </cell>
        </row>
        <row r="16">
          <cell r="F16"/>
          <cell r="G16"/>
          <cell r="M16" t="str">
            <v>ERA CRUISES (King Terrace Suite)</v>
          </cell>
          <cell r="N16">
            <v>412.08749999999998</v>
          </cell>
        </row>
        <row r="17">
          <cell r="F17" t="str">
            <v>Cruise</v>
          </cell>
          <cell r="G17"/>
          <cell r="M17" t="str">
            <v xml:space="preserve"> HẠ LONG BAY AQUAMARINE CRUISE   (Junior Suite)</v>
          </cell>
          <cell r="N17">
            <v>229.16666666666669</v>
          </cell>
        </row>
        <row r="18">
          <cell r="F18" t="str">
            <v xml:space="preserve">ERA CRUISES ( Terrace Suite ) </v>
          </cell>
          <cell r="G18">
            <v>367.58333333333337</v>
          </cell>
          <cell r="M18" t="str">
            <v xml:space="preserve"> HẠ LONG BAY AQUAMARINE CRUISE ( Senior Suite)</v>
          </cell>
          <cell r="N18">
            <v>242.91666666666669</v>
          </cell>
        </row>
        <row r="19">
          <cell r="F19" t="str">
            <v>ERA CRUISES (King Terrace Suite)</v>
          </cell>
          <cell r="G19">
            <v>412.08749999999998</v>
          </cell>
          <cell r="M19" t="str">
            <v xml:space="preserve">AMBASSADOR CRUISE  (Executive Ambassador Balcony) </v>
          </cell>
          <cell r="N19">
            <v>411.125</v>
          </cell>
        </row>
        <row r="20">
          <cell r="F20" t="str">
            <v xml:space="preserve"> HẠ LONG BAY AQUAMARINE CRUISE   (Junior Suite)</v>
          </cell>
          <cell r="G20">
            <v>229.16666666666669</v>
          </cell>
          <cell r="M20" t="str">
            <v xml:space="preserve">AMBASSADOR CRUISE (Ambassador Balcony Suite) </v>
          </cell>
          <cell r="N20">
            <v>443.4375</v>
          </cell>
        </row>
        <row r="21">
          <cell r="F21" t="str">
            <v xml:space="preserve"> HẠ LONG BAY AQUAMARINE CRUISE ( Senior Suite)</v>
          </cell>
          <cell r="G21">
            <v>242.91666666666669</v>
          </cell>
          <cell r="M21" t="str">
            <v xml:space="preserve">LA PANDORA CRUISE ( Suite Balcony) </v>
          </cell>
          <cell r="N21">
            <v>24.75</v>
          </cell>
        </row>
        <row r="22">
          <cell r="F22" t="str">
            <v xml:space="preserve">AMBASSADOR CRUISE  (Executive Ambassador Balcony) </v>
          </cell>
          <cell r="G22">
            <v>411.125</v>
          </cell>
          <cell r="M22" t="str">
            <v xml:space="preserve">LA PANDORA CRUISE ( Family Suite Balcony)  </v>
          </cell>
          <cell r="N22">
            <v>26.583333333333336</v>
          </cell>
        </row>
        <row r="23">
          <cell r="F23" t="str">
            <v xml:space="preserve">AMBASSADOR CRUISE (Ambassador Balcony Suite) </v>
          </cell>
          <cell r="G23">
            <v>443.4375</v>
          </cell>
          <cell r="M23" t="str">
            <v>ALISA PREMIER CRUISE   ( Junior suite)</v>
          </cell>
          <cell r="N23">
            <v>289.57499999999999</v>
          </cell>
        </row>
        <row r="24">
          <cell r="F24" t="str">
            <v xml:space="preserve">LA PANDORA CRUISE ( Suite Balcony) </v>
          </cell>
          <cell r="G24">
            <v>24.75</v>
          </cell>
          <cell r="M24" t="str">
            <v xml:space="preserve">ALISA PREMIER CRUISE   (Senior Balcony Suite) </v>
          </cell>
          <cell r="N24">
            <v>300.71249999999998</v>
          </cell>
        </row>
        <row r="25">
          <cell r="F25" t="str">
            <v xml:space="preserve">LA PANDORA CRUISE ( Family Suite Balcony)  </v>
          </cell>
          <cell r="G25">
            <v>26.583333333333336</v>
          </cell>
          <cell r="M25" t="str">
            <v>AQUAMARINE CRUISE (Junior Suite)</v>
          </cell>
          <cell r="N25">
            <v>229.16666666666669</v>
          </cell>
        </row>
        <row r="26">
          <cell r="F26" t="str">
            <v>ALISA PREMIER CRUISE   ( Junior suite)</v>
          </cell>
          <cell r="G26">
            <v>289.57499999999999</v>
          </cell>
          <cell r="M26" t="str">
            <v>AQUAMARINE CRUISE (Senior Suite)</v>
          </cell>
          <cell r="N26">
            <v>242.91666666666669</v>
          </cell>
        </row>
        <row r="27">
          <cell r="F27" t="str">
            <v xml:space="preserve">ALISA PREMIER CRUISE   (Senior Balcony Suite) </v>
          </cell>
          <cell r="G27">
            <v>300.71249999999998</v>
          </cell>
          <cell r="M27" t="str">
            <v xml:space="preserve">SWAN CRUISES  ( Deluxe Double/Twin) </v>
          </cell>
          <cell r="N27">
            <v>245.20833333333331</v>
          </cell>
        </row>
        <row r="28">
          <cell r="F28" t="str">
            <v>AQUAMARINE CRUISE (Junior Suite)</v>
          </cell>
          <cell r="G28">
            <v>229.16666666666669</v>
          </cell>
          <cell r="M28" t="str">
            <v xml:space="preserve">SWAN CRUISES  (Suite Cabins) </v>
          </cell>
          <cell r="N28">
            <v>267.3</v>
          </cell>
        </row>
        <row r="29">
          <cell r="F29" t="str">
            <v>AQUAMARINE CRUISE (Senior Suite)</v>
          </cell>
          <cell r="G29">
            <v>242.91666666666669</v>
          </cell>
          <cell r="M29" t="str">
            <v xml:space="preserve">SENA CRUISE ( Balcony Deluxe ) </v>
          </cell>
          <cell r="N29">
            <v>267.3</v>
          </cell>
        </row>
        <row r="30">
          <cell r="F30" t="str">
            <v xml:space="preserve">SWAN CRUISES  ( Deluxe Double/Twin) </v>
          </cell>
          <cell r="G30">
            <v>245.20833333333331</v>
          </cell>
          <cell r="M30" t="str">
            <v>RITA CRUISE (STANDARD CABIN)</v>
          </cell>
          <cell r="N30">
            <v>256.66666666666669</v>
          </cell>
        </row>
        <row r="31">
          <cell r="F31" t="str">
            <v xml:space="preserve">SWAN CRUISES  (Suite Cabins) </v>
          </cell>
          <cell r="G31">
            <v>267.3</v>
          </cell>
          <cell r="M31" t="str">
            <v>RITA CRUISE (JUNIOR SUITE)</v>
          </cell>
          <cell r="N31">
            <v>311.66666666666663</v>
          </cell>
        </row>
        <row r="32">
          <cell r="F32" t="str">
            <v xml:space="preserve">SENA CRUISE ( Balcony Deluxe ) </v>
          </cell>
          <cell r="G32">
            <v>267.3</v>
          </cell>
          <cell r="M32" t="str">
            <v>LE JOURNEY CRUISE</v>
          </cell>
          <cell r="N32">
            <v>222.75</v>
          </cell>
        </row>
        <row r="33">
          <cell r="F33" t="str">
            <v>RITA CRUISE (STANDARD CABIN)</v>
          </cell>
          <cell r="G33">
            <v>256.66666666666669</v>
          </cell>
          <cell r="M33" t="str">
            <v xml:space="preserve">SENA CRUISE ( Balcony Executive ) </v>
          </cell>
          <cell r="N33">
            <v>289.57499999999999</v>
          </cell>
        </row>
        <row r="34">
          <cell r="F34" t="str">
            <v>RITA CRUISE (JUNIOR SUITE)</v>
          </cell>
          <cell r="G34">
            <v>311.66666666666663</v>
          </cell>
          <cell r="M34" t="str">
            <v>HERA CLASSIC BOUTIQUE (Deluxe Cabin
with Ocean View)</v>
          </cell>
          <cell r="N34">
            <v>220</v>
          </cell>
        </row>
        <row r="35">
          <cell r="F35" t="str">
            <v>LE JOURNEY CRUISE</v>
          </cell>
          <cell r="G35">
            <v>222.75</v>
          </cell>
          <cell r="M35" t="str">
            <v>HERA CLASSIC BOUTIQUE (Executive Suite Cabin with private balcony)</v>
          </cell>
          <cell r="N35">
            <v>247.5</v>
          </cell>
        </row>
        <row r="36">
          <cell r="F36" t="str">
            <v xml:space="preserve">SENA CRUISE ( Balcony Executive ) </v>
          </cell>
          <cell r="G36">
            <v>289.57499999999999</v>
          </cell>
          <cell r="M36" t="str">
            <v>HERA GRAND LUXURY CRUISE (Junior Suite Cabin with Ocean View)</v>
          </cell>
          <cell r="N36">
            <v>247.5</v>
          </cell>
        </row>
        <row r="37">
          <cell r="F37" t="str">
            <v>HERA CLASSIC BOUTIQUE (Deluxe Cabin
with Ocean View)</v>
          </cell>
          <cell r="G37">
            <v>220</v>
          </cell>
          <cell r="M37" t="str">
            <v>HERA GRAND LUXURY CRUISE (Ocean Suite Cabin with private balcony)</v>
          </cell>
          <cell r="N37">
            <v>293.33333333333337</v>
          </cell>
        </row>
        <row r="38">
          <cell r="F38" t="str">
            <v>HERA CLASSIC BOUTIQUE (Executive Suite Cabin with private balcony)</v>
          </cell>
          <cell r="G38">
            <v>247.5</v>
          </cell>
          <cell r="M38" t="str">
            <v>HERA BOUTIQUE (Deluxe Cabin with Ocean View)</v>
          </cell>
          <cell r="N38">
            <v>201.66666666666669</v>
          </cell>
        </row>
        <row r="39">
          <cell r="F39" t="str">
            <v>HERA GRAND LUXURY CRUISE (Junior Suite Cabin with Ocean View)</v>
          </cell>
          <cell r="G39">
            <v>247.5</v>
          </cell>
          <cell r="M39" t="str">
            <v xml:space="preserve">HERA BOUTIQUE (Executive Suite Cabin
with private balcony)
</v>
          </cell>
          <cell r="N39">
            <v>229.16666666666669</v>
          </cell>
        </row>
        <row r="40">
          <cell r="F40" t="str">
            <v>HERA GRAND LUXURY CRUISE (Ocean Suite Cabin with private balcony)</v>
          </cell>
          <cell r="G40">
            <v>293.33333333333337</v>
          </cell>
          <cell r="M40" t="str">
            <v>HERA GRAND LUXURY CRUISE (Junior Suite Cabin with Ocean View)</v>
          </cell>
          <cell r="N40">
            <v>229.16666666666669</v>
          </cell>
        </row>
        <row r="41">
          <cell r="F41" t="str">
            <v>HERA BOUTIQUE (Deluxe Cabin with Ocean View)</v>
          </cell>
          <cell r="G41">
            <v>201.66666666666669</v>
          </cell>
          <cell r="M41" t="str">
            <v>HERA GRAND LUXURY CRUISE (Ocean Suite Cabin with private balcony)</v>
          </cell>
          <cell r="N41">
            <v>275</v>
          </cell>
        </row>
        <row r="42">
          <cell r="F42" t="str">
            <v xml:space="preserve">HERA BOUTIQUE (Executive Suite Cabin
with private balcony)
</v>
          </cell>
          <cell r="G42">
            <v>229.16666666666669</v>
          </cell>
          <cell r="M42" t="str">
            <v>VERDURE LOTUS CLASSIC (Deluxe Room)</v>
          </cell>
          <cell r="N42">
            <v>220</v>
          </cell>
        </row>
        <row r="43">
          <cell r="F43" t="str">
            <v>HERA GRAND LUXURY CRUISE (Junior Suite Cabin with Ocean View)</v>
          </cell>
          <cell r="G43">
            <v>229.16666666666669</v>
          </cell>
          <cell r="M43" t="str">
            <v>VERDURE LOTUS CLASSIC (Executive Room)</v>
          </cell>
          <cell r="N43">
            <v>238.33333333333331</v>
          </cell>
        </row>
        <row r="44">
          <cell r="F44" t="str">
            <v>HERA GRAND LUXURY CRUISE (Ocean Suite Cabin with private balcony)</v>
          </cell>
          <cell r="G44">
            <v>275</v>
          </cell>
          <cell r="M44" t="str">
            <v xml:space="preserve"> VERDURE LOTUS LUXURY (Deluxe Room)</v>
          </cell>
          <cell r="N44">
            <v>238.33333333333331</v>
          </cell>
        </row>
        <row r="45">
          <cell r="F45" t="str">
            <v>VERDURE LOTUS CLASSIC (Deluxe Room)</v>
          </cell>
          <cell r="G45">
            <v>220</v>
          </cell>
          <cell r="M45" t="str">
            <v xml:space="preserve"> VERDURE LOTUS LUXURY (Executive Room)</v>
          </cell>
          <cell r="N45">
            <v>256.66666666666669</v>
          </cell>
        </row>
        <row r="46">
          <cell r="F46" t="str">
            <v>VERDURE LOTUS CLASSIC (Executive Room)</v>
          </cell>
          <cell r="G46">
            <v>238.33333333333331</v>
          </cell>
          <cell r="M46" t="str">
            <v>VERDURE LOTUS Premium CRUISE ( Deluxe Room )</v>
          </cell>
          <cell r="N46">
            <v>229.16666666666669</v>
          </cell>
        </row>
        <row r="47">
          <cell r="F47" t="str">
            <v xml:space="preserve"> VERDURE LOTUS LUXURY (Deluxe Room)</v>
          </cell>
          <cell r="G47">
            <v>238.33333333333331</v>
          </cell>
          <cell r="M47" t="str">
            <v>VERDURE LOTUS Premium CRUISE (Executive Room)</v>
          </cell>
          <cell r="N47">
            <v>247.5</v>
          </cell>
        </row>
        <row r="48">
          <cell r="F48" t="str">
            <v xml:space="preserve"> VERDURE LOTUS LUXURY (Executive Room)</v>
          </cell>
          <cell r="G48">
            <v>256.66666666666669</v>
          </cell>
          <cell r="M48" t="str">
            <v>LA REGINA CLASSIC  (Deluxe Ocean View )</v>
          </cell>
          <cell r="N48">
            <v>192.5</v>
          </cell>
        </row>
        <row r="49">
          <cell r="F49" t="str">
            <v>VERDURE LOTUS Premium CRUISE ( Deluxe Room )</v>
          </cell>
          <cell r="G49">
            <v>229.16666666666669</v>
          </cell>
          <cell r="M49" t="str">
            <v>LA REGINA CLASSIC  (Premium Ocean View)</v>
          </cell>
          <cell r="N49">
            <v>201.66666666666669</v>
          </cell>
        </row>
        <row r="50">
          <cell r="F50" t="str">
            <v>VERDURE LOTUS Premium CRUISE (Executive Room)</v>
          </cell>
          <cell r="G50">
            <v>247.5</v>
          </cell>
          <cell r="M50" t="str">
            <v>LA REGINA  GRAND  (Bai Tu Long Suite )</v>
          </cell>
          <cell r="N50">
            <v>302.5</v>
          </cell>
        </row>
        <row r="51">
          <cell r="F51" t="str">
            <v>LA REGINA CLASSIC  (Deluxe Ocean View )</v>
          </cell>
          <cell r="G51">
            <v>192.5</v>
          </cell>
          <cell r="M51" t="str">
            <v>LA REGINA GRAND  (Ha Long Suite )</v>
          </cell>
          <cell r="N51">
            <v>325.41666666666663</v>
          </cell>
        </row>
        <row r="52">
          <cell r="F52" t="str">
            <v>LA REGINA CLASSIC  (Premium Ocean View)</v>
          </cell>
          <cell r="G52">
            <v>201.66666666666669</v>
          </cell>
          <cell r="M52" t="str">
            <v xml:space="preserve">LA REGINA LEGEND CRUISE (Princess Suite Doulbe/ Twin) </v>
          </cell>
          <cell r="N52">
            <v>293.33333333333337</v>
          </cell>
        </row>
        <row r="53">
          <cell r="F53" t="str">
            <v>LA REGINA  GRAND  (Bai Tu Long Suite )</v>
          </cell>
          <cell r="G53">
            <v>302.5</v>
          </cell>
          <cell r="M53" t="str">
            <v>LA REGINA LEGEND CRUISE (Princess Premium Suite Doulbe/ Twin )</v>
          </cell>
          <cell r="N53">
            <v>316.25</v>
          </cell>
        </row>
        <row r="54">
          <cell r="F54" t="str">
            <v>LA REGINA GRAND  (Ha Long Suite )</v>
          </cell>
          <cell r="G54">
            <v>325.41666666666663</v>
          </cell>
          <cell r="M54" t="str">
            <v>LA REGINA ROYAL (Noble Suite Double/ Twin)</v>
          </cell>
          <cell r="N54">
            <v>247.5</v>
          </cell>
        </row>
        <row r="55">
          <cell r="F55" t="str">
            <v xml:space="preserve">LA REGINA LEGEND CRUISE (Princess Suite Doulbe/ Twin) </v>
          </cell>
          <cell r="G55">
            <v>293.33333333333337</v>
          </cell>
          <cell r="M55" t="str">
            <v>LA REGINA ROYAL (Imperial Suite Double/ Twin)</v>
          </cell>
          <cell r="N55">
            <v>261.25</v>
          </cell>
        </row>
        <row r="56">
          <cell r="F56" t="str">
            <v>LA REGINA LEGEND CRUISE (Princess Premium Suite Doulbe/ Twin )</v>
          </cell>
          <cell r="G56">
            <v>316.25</v>
          </cell>
          <cell r="M56" t="str">
            <v xml:space="preserve">DELASEA HALONG ( Deluxe City View ) </v>
          </cell>
          <cell r="N56">
            <v>55</v>
          </cell>
        </row>
        <row r="57">
          <cell r="F57" t="str">
            <v>LA REGINA ROYAL (Noble Suite Double/ Twin)</v>
          </cell>
          <cell r="G57">
            <v>247.5</v>
          </cell>
          <cell r="M57" t="str">
            <v xml:space="preserve">DELASEA HALONG ( Deluxe Ocean View ) </v>
          </cell>
          <cell r="N57">
            <v>66.458333333333329</v>
          </cell>
        </row>
        <row r="58">
          <cell r="F58" t="str">
            <v>LA REGINA ROYAL (Imperial Suite Double/ Twin)</v>
          </cell>
          <cell r="G58">
            <v>261.25</v>
          </cell>
          <cell r="M58" t="str">
            <v>Le Theatre Cruises ( Junior Suite)</v>
          </cell>
          <cell r="N58">
            <v>297.91666666666663</v>
          </cell>
        </row>
        <row r="59">
          <cell r="F59" t="str">
            <v xml:space="preserve">DELASEA HALONG ( Deluxe City View ) </v>
          </cell>
          <cell r="G59">
            <v>55</v>
          </cell>
          <cell r="M59" t="str">
            <v>Le Theatre Cruises ( Executive Suite)</v>
          </cell>
          <cell r="N59">
            <v>343.75</v>
          </cell>
        </row>
        <row r="60">
          <cell r="F60" t="str">
            <v xml:space="preserve">DELASEA HALONG ( Deluxe Ocean View ) </v>
          </cell>
          <cell r="G60">
            <v>66.458333333333329</v>
          </cell>
          <cell r="M60" t="str">
            <v xml:space="preserve">Oriental Sails! ( Deluxe Room ) </v>
          </cell>
          <cell r="N60">
            <v>211.61250000000001</v>
          </cell>
        </row>
        <row r="61">
          <cell r="F61" t="str">
            <v>Le Theatre Cruises ( Junior Suite)</v>
          </cell>
          <cell r="G61">
            <v>297.91666666666663</v>
          </cell>
          <cell r="M61" t="str">
            <v>Oriental Sails! ( Deluxe Balcony)</v>
          </cell>
          <cell r="N61">
            <v>0</v>
          </cell>
        </row>
        <row r="62">
          <cell r="F62" t="str">
            <v>Le Theatre Cruises ( Executive Suite)</v>
          </cell>
          <cell r="G62">
            <v>343.75</v>
          </cell>
          <cell r="M62" t="str">
            <v xml:space="preserve">SCARLET PEARL ( Silver Pearl) </v>
          </cell>
          <cell r="N62">
            <v>341.45833333333337</v>
          </cell>
        </row>
        <row r="63">
          <cell r="F63" t="str">
            <v xml:space="preserve">Oriental Sails! ( Deluxe Room ) </v>
          </cell>
          <cell r="G63">
            <v>211.61250000000001</v>
          </cell>
          <cell r="M63" t="str">
            <v xml:space="preserve">SCARLET PEARL ( Golden Pearl) </v>
          </cell>
          <cell r="N63">
            <v>462</v>
          </cell>
        </row>
        <row r="64">
          <cell r="F64" t="str">
            <v>Oriental Sails! ( Deluxe Balcony)</v>
          </cell>
          <cell r="G64">
            <v>0</v>
          </cell>
          <cell r="M64" t="str">
            <v xml:space="preserve">PELICAN GLORY GROUP   ( Deluxe Room)  </v>
          </cell>
          <cell r="N64">
            <v>236.11500000000001</v>
          </cell>
        </row>
        <row r="65">
          <cell r="F65" t="str">
            <v xml:space="preserve">SCARLET PEARL ( Silver Pearl) </v>
          </cell>
          <cell r="G65">
            <v>341.45833333333337</v>
          </cell>
          <cell r="M65" t="str">
            <v xml:space="preserve">PELICAN GLORY GROUP   (Royal Suite)  </v>
          </cell>
          <cell r="N65">
            <v>348.60833333333335</v>
          </cell>
        </row>
        <row r="66">
          <cell r="F66" t="str">
            <v xml:space="preserve">SCARLET PEARL ( Golden Pearl) </v>
          </cell>
          <cell r="G66">
            <v>462</v>
          </cell>
          <cell r="M66" t="str">
            <v>PARADISE GRAND CRUISE (Grand Balcony)</v>
          </cell>
          <cell r="N66">
            <v>352.91666666666663</v>
          </cell>
        </row>
        <row r="67">
          <cell r="F67" t="str">
            <v xml:space="preserve">PELICAN GLORY GROUP   ( Deluxe Room)  </v>
          </cell>
          <cell r="G67">
            <v>236.11500000000001</v>
          </cell>
          <cell r="M67" t="str">
            <v>PARADISE GRAND CRUISE (Executive Grand Balcony)</v>
          </cell>
          <cell r="N67">
            <v>378.125</v>
          </cell>
        </row>
        <row r="68">
          <cell r="F68" t="str">
            <v xml:space="preserve">PELICAN GLORY GROUP   (Royal Suite)  </v>
          </cell>
          <cell r="G68">
            <v>348.60833333333335</v>
          </cell>
          <cell r="M68" t="str">
            <v>Novotel Ha Long ( Standard Room)</v>
          </cell>
          <cell r="N68">
            <v>84.791666666666657</v>
          </cell>
        </row>
        <row r="69">
          <cell r="F69" t="str">
            <v>PARADISE GRAND CRUISE (Grand Balcony)</v>
          </cell>
          <cell r="G69">
            <v>352.91666666666663</v>
          </cell>
          <cell r="M69" t="str">
            <v>Novotel Ha Long ( Superior Room)</v>
          </cell>
          <cell r="N69">
            <v>100.83333333333334</v>
          </cell>
        </row>
        <row r="70">
          <cell r="F70" t="str">
            <v>PARADISE GRAND CRUISE (Executive Grand Balcony)</v>
          </cell>
          <cell r="G70">
            <v>378.125</v>
          </cell>
          <cell r="M70" t="str">
            <v xml:space="preserve">ATHENA LUXURY CRUISE  ( EXECUTIVE Suite ) </v>
          </cell>
          <cell r="N70">
            <v>286</v>
          </cell>
        </row>
        <row r="71">
          <cell r="F71" t="str">
            <v>Novotel Ha Long ( Standard Room)</v>
          </cell>
          <cell r="G71">
            <v>84.791666666666657</v>
          </cell>
          <cell r="M71" t="str">
            <v>ATHENA LUXURY CRUISE ( (ELEGANT Suite)</v>
          </cell>
          <cell r="N71">
            <v>308</v>
          </cell>
        </row>
        <row r="72">
          <cell r="F72" t="str">
            <v>Novotel Ha Long ( Superior Room)</v>
          </cell>
          <cell r="G72">
            <v>100.83333333333334</v>
          </cell>
          <cell r="M72" t="str">
            <v>ATHENA ROYAL CRUISE (EXECUTIVE ROYAL
Suite)</v>
          </cell>
          <cell r="N72">
            <v>297</v>
          </cell>
        </row>
        <row r="73">
          <cell r="F73" t="str">
            <v xml:space="preserve">ATHENA LUXURY CRUISE  ( EXECUTIVE Suite ) </v>
          </cell>
          <cell r="G73">
            <v>286</v>
          </cell>
          <cell r="M73" t="str">
            <v>ATHENA ROYAL CRUISE (ELEGANT ROYAL Suite)</v>
          </cell>
          <cell r="N73">
            <v>319</v>
          </cell>
        </row>
        <row r="74">
          <cell r="F74" t="str">
            <v>ATHENA LUXURY CRUISE ( (ELEGANT Suite)</v>
          </cell>
          <cell r="G74">
            <v>308</v>
          </cell>
          <cell r="M74" t="str">
            <v>SIGNATURE HALONG CRUISE (JUNIOR SUITE)</v>
          </cell>
          <cell r="N74">
            <v>264</v>
          </cell>
        </row>
        <row r="75">
          <cell r="F75" t="str">
            <v>ATHENA ROYAL CRUISE (EXECUTIVE ROYAL
Suite)</v>
          </cell>
          <cell r="G75">
            <v>297</v>
          </cell>
          <cell r="M75" t="str">
            <v>SIGNATURE HALONG CRUISE (SENIOR SUITE)</v>
          </cell>
          <cell r="N75">
            <v>286</v>
          </cell>
        </row>
        <row r="76">
          <cell r="F76" t="str">
            <v>ATHENA ROYAL CRUISE (ELEGANT ROYAL Suite)</v>
          </cell>
          <cell r="G76">
            <v>319</v>
          </cell>
          <cell r="M76" t="str">
            <v>SIGNATURE ROYAL CRUISE (JUNIOR SUITE)</v>
          </cell>
          <cell r="N76">
            <v>264</v>
          </cell>
        </row>
        <row r="77">
          <cell r="F77" t="str">
            <v>SIGNATURE HALONG CRUISE (JUNIOR SUITE)</v>
          </cell>
          <cell r="G77">
            <v>264</v>
          </cell>
          <cell r="M77" t="str">
            <v>SIGNATURE ROYAL CRUISE (SENIOR SUITE
)</v>
          </cell>
          <cell r="N77">
            <v>286</v>
          </cell>
        </row>
        <row r="78">
          <cell r="F78" t="str">
            <v>SIGNATURE HALONG CRUISE (SENIOR SUITE)</v>
          </cell>
          <cell r="G78">
            <v>286</v>
          </cell>
          <cell r="M78" t="str">
            <v xml:space="preserve">DORA LUXURY CRUISE (Junior Suite) </v>
          </cell>
          <cell r="N78">
            <v>302.5</v>
          </cell>
        </row>
        <row r="79">
          <cell r="F79" t="str">
            <v>SIGNATURE ROYAL CRUISE (JUNIOR SUITE)</v>
          </cell>
          <cell r="G79">
            <v>264</v>
          </cell>
          <cell r="M79" t="str">
            <v xml:space="preserve">  DORA LUXURY CRUISE (Senior Suite) </v>
          </cell>
          <cell r="N79">
            <v>320.83333333333337</v>
          </cell>
        </row>
        <row r="80">
          <cell r="F80" t="str">
            <v>SIGNATURE ROYAL CRUISE (SENIOR SUITE
)</v>
          </cell>
          <cell r="G80">
            <v>286</v>
          </cell>
          <cell r="M80" t="str">
            <v>Bai Tho Junks!  ( Deluxe Ocean View)</v>
          </cell>
          <cell r="N80">
            <v>261.25</v>
          </cell>
        </row>
        <row r="81">
          <cell r="F81" t="str">
            <v xml:space="preserve">DORA LUXURY CRUISE (Junior Suite) </v>
          </cell>
          <cell r="G81">
            <v>302.5</v>
          </cell>
          <cell r="M81" t="str">
            <v>Bai Tho Junks!  ( Suite Ocean View Balcony)</v>
          </cell>
          <cell r="N81">
            <v>313.5</v>
          </cell>
        </row>
        <row r="82">
          <cell r="F82" t="str">
            <v xml:space="preserve">  DORA LUXURY CRUISE (Senior Suite) </v>
          </cell>
          <cell r="G82">
            <v>320.83333333333337</v>
          </cell>
          <cell r="M82" t="str">
            <v>GOLDEN CRUISE (LUXURY)</v>
          </cell>
          <cell r="N82">
            <v>256.66666666666669</v>
          </cell>
        </row>
        <row r="83">
          <cell r="F83" t="str">
            <v>Bai Tho Junks!  ( Deluxe Ocean View)</v>
          </cell>
          <cell r="G83">
            <v>261.25</v>
          </cell>
          <cell r="M83" t="str">
            <v>GOLDEN CRUISE (SUITE)</v>
          </cell>
          <cell r="N83">
            <v>458.33333333333337</v>
          </cell>
        </row>
        <row r="84">
          <cell r="F84" t="str">
            <v>Bai Tho Junks!  ( Suite Ocean View Balcony)</v>
          </cell>
          <cell r="G84">
            <v>313.5</v>
          </cell>
          <cell r="M84" t="str">
            <v xml:space="preserve">A la carte halong bay hotel (Premier City View) </v>
          </cell>
          <cell r="N84">
            <v>77.916666666666657</v>
          </cell>
        </row>
        <row r="85">
          <cell r="F85" t="str">
            <v>GOLDEN CRUISE (LUXURY)</v>
          </cell>
          <cell r="G85">
            <v>256.66666666666669</v>
          </cell>
          <cell r="M85" t="str">
            <v>A la carte halong bay hotel (Executive Bay View
)</v>
          </cell>
          <cell r="N85">
            <v>96.25</v>
          </cell>
        </row>
        <row r="86">
          <cell r="F86" t="str">
            <v>GOLDEN CRUISE (SUITE)</v>
          </cell>
          <cell r="G86">
            <v>458.33333333333337</v>
          </cell>
          <cell r="M86" t="str">
            <v>Hotel Sol Hạ Long  ( Premier Suite )</v>
          </cell>
          <cell r="N86">
            <v>96.25</v>
          </cell>
        </row>
        <row r="87">
          <cell r="F87" t="str">
            <v xml:space="preserve">A la carte halong bay hotel (Premier City View) </v>
          </cell>
          <cell r="G87">
            <v>77.916666666666657</v>
          </cell>
          <cell r="M87" t="str">
            <v>Hotel Sol Hạ Long  ( Junior Suite )</v>
          </cell>
          <cell r="N87">
            <v>89.375</v>
          </cell>
        </row>
        <row r="88">
          <cell r="F88" t="str">
            <v>A la carte halong bay hotel (Executive Bay View
)</v>
          </cell>
          <cell r="G88">
            <v>96.25</v>
          </cell>
          <cell r="M88" t="str">
            <v>NOSTALGIA  CRUISE (Princess Suite)</v>
          </cell>
          <cell r="N88">
            <v>423.22500000000002</v>
          </cell>
        </row>
        <row r="89">
          <cell r="F89" t="str">
            <v>Hotel Sol Hạ Long  ( Premier Suite )</v>
          </cell>
          <cell r="G89">
            <v>96.25</v>
          </cell>
          <cell r="M89" t="str">
            <v>NOSTALGIA  CRUISE (King Suite)</v>
          </cell>
          <cell r="N89">
            <v>623.70000000000005</v>
          </cell>
        </row>
        <row r="90">
          <cell r="F90" t="str">
            <v>Hotel Sol Hạ Long  ( Junior Suite )</v>
          </cell>
          <cell r="G90">
            <v>89.375</v>
          </cell>
          <cell r="M90" t="str">
            <v xml:space="preserve">Amanda cruise  (Deluxe Cabin with Ocean View)                                                                                                                                                                                        
</v>
          </cell>
          <cell r="N90">
            <v>210.83333333333331</v>
          </cell>
        </row>
        <row r="91">
          <cell r="F91" t="str">
            <v>NOSTALGIA  CRUISE (Princess Suite)</v>
          </cell>
          <cell r="G91">
            <v>423.22500000000002</v>
          </cell>
          <cell r="M91" t="str">
            <v xml:space="preserve">Amanda cruise ( Junior Suite Cabin with Ocean View)
</v>
          </cell>
          <cell r="N91">
            <v>229.16666666666669</v>
          </cell>
        </row>
        <row r="92">
          <cell r="F92" t="str">
            <v>NOSTALGIA  CRUISE (King Suite)</v>
          </cell>
          <cell r="G92">
            <v>623.70000000000005</v>
          </cell>
          <cell r="M92" t="str">
            <v>OMKARA DIAMOND DAY  CRUISE ( Deluxe Cabin with Veg Meals )</v>
          </cell>
          <cell r="N92">
            <v>367.53750000000002</v>
          </cell>
        </row>
        <row r="93">
          <cell r="F93" t="str">
            <v xml:space="preserve">Amanda cruise  (Deluxe Cabin with Ocean View)                                                                                                                                                                                        
</v>
          </cell>
          <cell r="G93">
            <v>210.83333333333331</v>
          </cell>
          <cell r="M93" t="str">
            <v>OMKARA DIAMOND DAY  CRUISE ( Deluxe Cabin with Veg &amp; Non Veg Combo Meals )</v>
          </cell>
          <cell r="N93">
            <v>389.8125</v>
          </cell>
        </row>
        <row r="94">
          <cell r="F94" t="str">
            <v xml:space="preserve">Amanda cruise ( Junior Suite Cabin with Ocean View)
</v>
          </cell>
          <cell r="G94">
            <v>229.16666666666669</v>
          </cell>
        </row>
        <row r="95">
          <cell r="F95" t="str">
            <v>OMKARA DIAMOND DAY  CRUISE ( Deluxe Cabin with Veg Meals )</v>
          </cell>
          <cell r="G95">
            <v>367.53750000000002</v>
          </cell>
          <cell r="M95" t="str">
            <v>DANANG</v>
          </cell>
        </row>
        <row r="96">
          <cell r="F96" t="str">
            <v>OMKARA DIAMOND DAY  CRUISE ( Deluxe Cabin with Veg &amp; Non Veg Combo Meals )</v>
          </cell>
          <cell r="G96">
            <v>389.8125</v>
          </cell>
          <cell r="M96" t="str">
            <v xml:space="preserve">3 STAR </v>
          </cell>
        </row>
        <row r="97">
          <cell r="G97"/>
          <cell r="M97" t="str">
            <v xml:space="preserve">The Leaf Boutique Hotel ( Deluxe City View (4) ) </v>
          </cell>
          <cell r="N97">
            <v>43.541666666666671</v>
          </cell>
        </row>
        <row r="98">
          <cell r="F98" t="str">
            <v>DANANG</v>
          </cell>
          <cell r="G98"/>
          <cell r="M98" t="str">
            <v xml:space="preserve">The Leaf Boutique Hotel ( Superior Triple No View) </v>
          </cell>
          <cell r="N98">
            <v>50.416666666666671</v>
          </cell>
        </row>
        <row r="99">
          <cell r="F99" t="str">
            <v>4 STAR</v>
          </cell>
          <cell r="G99"/>
          <cell r="M99" t="str">
            <v xml:space="preserve">GOLDEN LOTUS GRAND HOTEL ( DELUXE DBL ROOM ) </v>
          </cell>
          <cell r="N99">
            <v>52.708333333333329</v>
          </cell>
        </row>
        <row r="100">
          <cell r="F100" t="str">
            <v xml:space="preserve">STELLA MARIS BEACH DANANG ( SUPERIOR) </v>
          </cell>
          <cell r="G100">
            <v>52.708333333333329</v>
          </cell>
          <cell r="M100" t="str">
            <v xml:space="preserve">GOLDEN LOTUS GRAND HOTEL ( PREMIUM TRIPLE ROOM ) </v>
          </cell>
          <cell r="N100">
            <v>75.625</v>
          </cell>
        </row>
        <row r="101">
          <cell r="F101" t="str">
            <v xml:space="preserve"> STELLA MARIS BEACH DANANG ( DELUXE PARTIAL SEAVIEW) </v>
          </cell>
          <cell r="G101">
            <v>61.875</v>
          </cell>
          <cell r="M101" t="str">
            <v>Royal Family Hotel Da Nang ( Superior Double/Twin/2pax)</v>
          </cell>
          <cell r="N101">
            <v>64.166666666666671</v>
          </cell>
        </row>
        <row r="102">
          <cell r="F102" t="str">
            <v xml:space="preserve">GOLDEN LOTUS  LUXURY HOTEL ( Lotus Deluxe ) </v>
          </cell>
          <cell r="G102">
            <v>6.0499999999999998E-2</v>
          </cell>
          <cell r="M102" t="str">
            <v>Royal Family Hotel Da Nang ( Deluxe Double/Twin/2pax</v>
          </cell>
          <cell r="N102">
            <v>82.5</v>
          </cell>
        </row>
        <row r="103">
          <cell r="F103" t="str">
            <v xml:space="preserve">GOLDEN LOTUS  LUXURY HOTEL ( Junior Suite ) </v>
          </cell>
          <cell r="G103">
            <v>0.13452083333333334</v>
          </cell>
        </row>
        <row r="104">
          <cell r="F104" t="str">
            <v xml:space="preserve">THE CODE HOTEL &amp; SPA DA NANG ( Superior) </v>
          </cell>
          <cell r="G104">
            <v>30.708333333333336</v>
          </cell>
          <cell r="M104" t="str">
            <v>Ho Chi Minh</v>
          </cell>
        </row>
        <row r="105">
          <cell r="F105" t="str">
            <v xml:space="preserve">THE CODE HOTEL &amp; SPA DA NANG ( Deluxe City view) </v>
          </cell>
          <cell r="G105">
            <v>33</v>
          </cell>
          <cell r="M105" t="str">
            <v xml:space="preserve">             3 STAR </v>
          </cell>
        </row>
        <row r="106">
          <cell r="F106" t="str">
            <v xml:space="preserve">DRACO HOTEL &amp; SUITES DANANG (Superior Room) </v>
          </cell>
          <cell r="G106">
            <v>38.958333333333329</v>
          </cell>
          <cell r="M106"/>
        </row>
        <row r="107">
          <cell r="F107" t="str">
            <v xml:space="preserve">DRACO HOTEL &amp; SUITES DANANG (Deluxe City View) </v>
          </cell>
          <cell r="G107">
            <v>43.541666666666671</v>
          </cell>
          <cell r="M107" t="str">
            <v xml:space="preserve">Avanti Boutique Hotel ( Superior no window ) </v>
          </cell>
          <cell r="N107">
            <v>36.666666666666671</v>
          </cell>
        </row>
        <row r="108">
          <cell r="F108" t="str">
            <v xml:space="preserve">Cicilia Danang Hotels &amp; Spa ( Deluxe City View ) </v>
          </cell>
          <cell r="G108">
            <v>32.083333333333336</v>
          </cell>
          <cell r="M108" t="str">
            <v xml:space="preserve">Avanti Boutique Hotel ( Deluxe have window ) </v>
          </cell>
          <cell r="N108">
            <v>48.125</v>
          </cell>
        </row>
        <row r="109">
          <cell r="F109" t="str">
            <v xml:space="preserve">Cicilia Danang Hotels &amp; Spa (Junior Suite Ocean View ) </v>
          </cell>
          <cell r="G109">
            <v>58.666666666666671</v>
          </cell>
          <cell r="M109" t="str">
            <v xml:space="preserve">Queen Ann Hotel Sai Gon ( Deluxe With  Window ) </v>
          </cell>
          <cell r="N109">
            <v>45.833333333333329</v>
          </cell>
        </row>
        <row r="110">
          <cell r="F110"/>
          <cell r="G110"/>
          <cell r="M110" t="str">
            <v xml:space="preserve">Queen Ann Hotel Sai Gon ( Premier With Window  ) </v>
          </cell>
          <cell r="N110">
            <v>50.416666666666671</v>
          </cell>
        </row>
        <row r="111">
          <cell r="F111" t="str">
            <v>Ho Chi Minh</v>
          </cell>
          <cell r="G111"/>
          <cell r="M111" t="str">
            <v xml:space="preserve">Aluna Ben Thanh Hotel ( Schroeder (Window) ) </v>
          </cell>
          <cell r="N111">
            <v>114.58333333333334</v>
          </cell>
        </row>
        <row r="112">
          <cell r="F112" t="str">
            <v xml:space="preserve">4 STAR </v>
          </cell>
          <cell r="G112"/>
          <cell r="M112" t="str">
            <v>Aluna Ben Thanh Hotel  ( Premier(Window)</v>
          </cell>
          <cell r="N112">
            <v>105.41666666666666</v>
          </cell>
        </row>
        <row r="113">
          <cell r="F113" t="str">
            <v>Paragon Saigon Hotel ( Deluxe Window
(Queen-bed, Twin-bed)</v>
          </cell>
          <cell r="G113">
            <v>90.75</v>
          </cell>
          <cell r="M113" t="str">
            <v>Dai Nam Boutique Hotel ( DELUXE ) SGL/DBL</v>
          </cell>
          <cell r="N113">
            <v>55</v>
          </cell>
        </row>
        <row r="114">
          <cell r="F114" t="str">
            <v xml:space="preserve">Paragon Saigon Hotel  ( Premier window Sakura) </v>
          </cell>
          <cell r="G114">
            <v>110.91666666666666</v>
          </cell>
          <cell r="M114" t="str">
            <v>Dai Nam Boutique Hotel (EXECUTIVE ) SGL/DBL</v>
          </cell>
          <cell r="N114">
            <v>64.166666666666671</v>
          </cell>
        </row>
        <row r="115">
          <cell r="F115" t="str">
            <v xml:space="preserve">First Hotel (  Deluxe (30 m2) </v>
          </cell>
          <cell r="G115">
            <v>41.25</v>
          </cell>
        </row>
        <row r="116">
          <cell r="F116" t="str">
            <v xml:space="preserve">First Hotel (Superior 20 m2)) </v>
          </cell>
          <cell r="G116">
            <v>38.958333333333329</v>
          </cell>
          <cell r="M116" t="str">
            <v>Phu Quoc</v>
          </cell>
        </row>
        <row r="117">
          <cell r="F117" t="str">
            <v xml:space="preserve">Royal Hotel Saigon ( DELUXE ) </v>
          </cell>
          <cell r="G117">
            <v>75.625</v>
          </cell>
          <cell r="M117" t="str">
            <v xml:space="preserve">3 STAR </v>
          </cell>
        </row>
        <row r="118">
          <cell r="F118" t="str">
            <v xml:space="preserve">Royal Hotel Saigon (SUPER DELUXE ) </v>
          </cell>
          <cell r="G118">
            <v>84.791666666666657</v>
          </cell>
          <cell r="M118" t="str">
            <v>Gaia Hotel Phu Quoc ( Standard ocean view Double/Twin)</v>
          </cell>
          <cell r="N118">
            <v>27.5</v>
          </cell>
        </row>
        <row r="119">
          <cell r="F119">
            <v>0</v>
          </cell>
          <cell r="G119">
            <v>0</v>
          </cell>
          <cell r="M119" t="str">
            <v>Gaia Hotel Phu Quoc ( Deluxe ocean view Double có Ban Công</v>
          </cell>
          <cell r="N119">
            <v>34.375</v>
          </cell>
        </row>
        <row r="120">
          <cell r="F120" t="str">
            <v xml:space="preserve">Saigon Domaine Luxury Residences ( 1-Bedroom Suite ) </v>
          </cell>
          <cell r="G120">
            <v>118.02083333333334</v>
          </cell>
        </row>
        <row r="121">
          <cell r="F121" t="str">
            <v>Somerset CHANCELLOR COURT HO CHI MINH CITY (Executive  Room)</v>
          </cell>
          <cell r="G121">
            <v>106.53958333333334</v>
          </cell>
          <cell r="M121" t="str">
            <v>Hoi AN</v>
          </cell>
        </row>
        <row r="122">
          <cell r="F122" t="str">
            <v>Somerset CHANCELLOR COURT HO CHI MINH CITY ( Premier  Room )</v>
          </cell>
          <cell r="G122">
            <v>111.73708333333333</v>
          </cell>
          <cell r="M122" t="str">
            <v xml:space="preserve">3 STAR </v>
          </cell>
        </row>
        <row r="123">
          <cell r="F123" t="str">
            <v>Ramada Encore By Wyndham Sai Gon Junior Deluxe</v>
          </cell>
          <cell r="G123">
            <v>68.75</v>
          </cell>
          <cell r="M123" t="str">
            <v>Eco Lux Riverside Hotel &amp; Spa Hoi An ( Superior room with balcony/window (D/T)</v>
          </cell>
          <cell r="N123">
            <v>32.083333333333336</v>
          </cell>
        </row>
        <row r="124">
          <cell r="F124" t="str">
            <v>Ramada Encore By Wyndham Sai Gon Premium Deluxe</v>
          </cell>
          <cell r="G124">
            <v>73.333333333333343</v>
          </cell>
          <cell r="M124" t="str">
            <v xml:space="preserve">Eco Lux Riverside Hotel &amp; Spa Hoi An  (Royal Honeymoon Suite with balcony (D)            </v>
          </cell>
          <cell r="N124">
            <v>59.583333333333329</v>
          </cell>
        </row>
        <row r="125">
          <cell r="M125" t="str">
            <v xml:space="preserve">KIMAN HOTEL ( 
Deluxe Garden View)
</v>
          </cell>
          <cell r="N125">
            <v>33</v>
          </cell>
        </row>
        <row r="126">
          <cell r="F126" t="str">
            <v>Phu Quoc</v>
          </cell>
          <cell r="M126" t="str">
            <v xml:space="preserve">KIMAN HOTEL ( Deluxe City View)
</v>
          </cell>
          <cell r="N126">
            <v>35.75</v>
          </cell>
        </row>
        <row r="127">
          <cell r="F127" t="str">
            <v xml:space="preserve">4 star </v>
          </cell>
        </row>
        <row r="128">
          <cell r="F128" t="str">
            <v xml:space="preserve">Sea Sense Resort ( Deluxe Garden View ) </v>
          </cell>
          <cell r="G128">
            <v>74.25</v>
          </cell>
          <cell r="M128" t="str">
            <v>SAPA</v>
          </cell>
        </row>
        <row r="129">
          <cell r="F129" t="str">
            <v xml:space="preserve">Sea Sense Resort ( Sea View Villa ) </v>
          </cell>
          <cell r="G129">
            <v>99</v>
          </cell>
          <cell r="M129" t="str">
            <v xml:space="preserve">3 STAR </v>
          </cell>
        </row>
        <row r="130">
          <cell r="F130" t="str">
            <v>Cassia Cottage Resort &amp; Spa (GARDEN COTTAGE)</v>
          </cell>
          <cell r="G130">
            <v>185.80833333333334</v>
          </cell>
          <cell r="M130" t="str">
            <v>Sapa Horizon Hotel ( Superior room with balcony (Street, City view)</v>
          </cell>
          <cell r="N130">
            <v>66.458333333333329</v>
          </cell>
        </row>
        <row r="131">
          <cell r="F131" t="str">
            <v>Cassia Cottage Resort &amp; Spa ( MODERN DELUXE)</v>
          </cell>
          <cell r="G131">
            <v>210.97083333333333</v>
          </cell>
          <cell r="M131" t="str">
            <v>Sapa Horizon Hotel (Deluxe room with balcony )</v>
          </cell>
          <cell r="N131">
            <v>75.625</v>
          </cell>
        </row>
        <row r="132">
          <cell r="F132" t="str">
            <v>Famiana Resort &amp; Spa Phu Quoc ( Deluxe Garden view)</v>
          </cell>
          <cell r="G132">
            <v>106.79166666666666</v>
          </cell>
        </row>
        <row r="133">
          <cell r="F133" t="str">
            <v>Famiana Resort &amp; Spa Phu Quoc (Premium Deluxe Garden View)</v>
          </cell>
          <cell r="G133">
            <v>117.33333333333334</v>
          </cell>
        </row>
        <row r="134">
          <cell r="F134" t="str">
            <v>Green Bay Phu Quoc Resort &amp; Spa(Garden Villa 1-Bedroom)</v>
          </cell>
          <cell r="G134">
            <v>147.58333333333331</v>
          </cell>
        </row>
        <row r="135">
          <cell r="F135" t="str">
            <v xml:space="preserve">Green Bay Phu Quoc Resort &amp; Spa ( Family Villa ) </v>
          </cell>
          <cell r="G135">
            <v>295.16666666666663</v>
          </cell>
        </row>
        <row r="136">
          <cell r="F136" t="str">
            <v>Sol by Meliá Phu Quoc ( Standard Room)</v>
          </cell>
          <cell r="G136">
            <v>74.25</v>
          </cell>
        </row>
        <row r="137">
          <cell r="F137" t="str">
            <v>Sol by Meliá Phu Quoc ( Superior Room)</v>
          </cell>
          <cell r="G137">
            <v>83.416666666666657</v>
          </cell>
        </row>
        <row r="140">
          <cell r="F140" t="str">
            <v>Hoi An</v>
          </cell>
        </row>
        <row r="141">
          <cell r="F141" t="str">
            <v xml:space="preserve">4 STAR </v>
          </cell>
        </row>
        <row r="142">
          <cell r="F142" t="str">
            <v>Hoian Nostalgia Hotel &amp; Spa  (Historical Double/Twin (Window)</v>
          </cell>
          <cell r="G142">
            <v>22.916666666666664</v>
          </cell>
        </row>
        <row r="143">
          <cell r="F143" t="str">
            <v xml:space="preserve">Hoian Nostalgia Hotel &amp; Spa (Ancient Double/Twin (Window)                                              </v>
          </cell>
          <cell r="G143">
            <v>27.5</v>
          </cell>
        </row>
        <row r="144">
          <cell r="F144" t="str">
            <v>ANANTARA HOI AN RESORT ( Deluxe Balcony Room)</v>
          </cell>
          <cell r="G144">
            <v>250.8</v>
          </cell>
        </row>
        <row r="145">
          <cell r="F145" t="str">
            <v xml:space="preserve">ANANTARA HOI AN RESORT ( Deluxe Garden View Suite) </v>
          </cell>
          <cell r="G145">
            <v>299.2</v>
          </cell>
        </row>
        <row r="146">
          <cell r="F146" t="str">
            <v>VICTORIA HOI AN BEACH RESORT &amp; SPA ( Superior River View)</v>
          </cell>
          <cell r="G146">
            <v>142.08333333333331</v>
          </cell>
        </row>
        <row r="147">
          <cell r="F147" t="str">
            <v>VICTORIA HOI AN BEACH RESORT &amp; SPA     ( Deluxe)</v>
          </cell>
          <cell r="G147">
            <v>197.08333333333331</v>
          </cell>
        </row>
        <row r="148">
          <cell r="F148" t="str">
            <v xml:space="preserve">Hoi An Rosemary Boutique Hotel &amp; Spa ( RosemaryDeluxe (Balcony/Garden or Pool view)
</v>
          </cell>
          <cell r="G148">
            <v>48.125</v>
          </cell>
        </row>
        <row r="149">
          <cell r="F149" t="str">
            <v xml:space="preserve">Hoi An Rosemary Boutique Hotel &amp; Spa ( Rosemary Triple Deluxe (Balcony/Garden or Pool view)
</v>
          </cell>
          <cell r="G149">
            <v>75.625</v>
          </cell>
        </row>
        <row r="150">
          <cell r="F150" t="str">
            <v xml:space="preserve">Boutique Hoi An Resort ( Superior (Single|Double ) </v>
          </cell>
          <cell r="G150">
            <v>160.41666666666669</v>
          </cell>
        </row>
        <row r="151">
          <cell r="F151" t="str">
            <v xml:space="preserve">Boutique Hoi An Resort ( Deluxe (Single Double ) </v>
          </cell>
          <cell r="G151">
            <v>174.16666666666669</v>
          </cell>
        </row>
        <row r="152">
          <cell r="F152"/>
          <cell r="G152"/>
        </row>
        <row r="153">
          <cell r="F153" t="str">
            <v>SAPA</v>
          </cell>
          <cell r="G153"/>
        </row>
        <row r="154">
          <cell r="F154" t="str">
            <v xml:space="preserve">4 STAR </v>
          </cell>
          <cell r="G154"/>
        </row>
        <row r="155">
          <cell r="F155" t="str">
            <v>Pistachio Hotel Sapa ( Superior City view)</v>
          </cell>
          <cell r="G155">
            <v>71.041666666666657</v>
          </cell>
        </row>
        <row r="156">
          <cell r="F156" t="str">
            <v xml:space="preserve">Pistachio Hotel Sapa    ( Superior
Mountain View ) </v>
          </cell>
          <cell r="G156">
            <v>75.625</v>
          </cell>
        </row>
        <row r="157">
          <cell r="F157" t="str">
            <v xml:space="preserve">BB Sapa Resort &amp; Spa ( Superior) </v>
          </cell>
          <cell r="G157">
            <v>86.166666666666657</v>
          </cell>
        </row>
        <row r="158">
          <cell r="F158" t="str">
            <v xml:space="preserve">   BB Sapa Resort &amp; Spa (Deluxe)</v>
          </cell>
          <cell r="G158">
            <v>96.9375</v>
          </cell>
        </row>
        <row r="159">
          <cell r="F159" t="str">
            <v>ALIANA Boutique Sapa Hotel &amp; Spa ( Deluxe Balcony (Dbl/Twn)</v>
          </cell>
          <cell r="G159">
            <v>93.958333333333343</v>
          </cell>
        </row>
        <row r="160">
          <cell r="F160" t="str">
            <v>ALIANA Boutique Sapa Hotel &amp; Spa ( Premier Deluxe Balcony (Dbl/Twn)</v>
          </cell>
          <cell r="G160">
            <v>103.125</v>
          </cell>
        </row>
        <row r="161">
          <cell r="F161" t="str">
            <v>Amazing Hotel Sapa ( Superior (Twin/Double)</v>
          </cell>
          <cell r="G161">
            <v>75.625</v>
          </cell>
        </row>
        <row r="162">
          <cell r="F162" t="str">
            <v>Amazing Hotel Sapa (Deluxe (Twin/Double)</v>
          </cell>
          <cell r="G162">
            <v>84.791666666666657</v>
          </cell>
        </row>
        <row r="163">
          <cell r="F163" t="str">
            <v>Sapa Legend Hotel &amp; Spa ( Superior)</v>
          </cell>
          <cell r="G163">
            <v>50.416666666666671</v>
          </cell>
        </row>
        <row r="164">
          <cell r="F164" t="str">
            <v>Sapa Legend Hotel &amp; Spa (Deluxe)</v>
          </cell>
          <cell r="G164">
            <v>64.166666666666671</v>
          </cell>
        </row>
        <row r="165">
          <cell r="F165" t="str">
            <v>A25 HOTEEL SAPA ( Superior Double/ Twin) Window</v>
          </cell>
          <cell r="G165">
            <v>32.083333333333336</v>
          </cell>
        </row>
        <row r="166">
          <cell r="F166" t="str">
            <v>A25 HOTEEL SAPA ( Deluxe Double/ Twin) City view</v>
          </cell>
          <cell r="G166">
            <v>36.666666666666671</v>
          </cell>
        </row>
        <row r="167">
          <cell r="F167"/>
          <cell r="G167"/>
        </row>
        <row r="168">
          <cell r="F168"/>
          <cell r="G168"/>
        </row>
        <row r="169">
          <cell r="F169"/>
          <cell r="G169"/>
        </row>
        <row r="170">
          <cell r="F170"/>
          <cell r="G170"/>
        </row>
        <row r="171">
          <cell r="F171"/>
          <cell r="G171"/>
        </row>
        <row r="172">
          <cell r="F172"/>
          <cell r="G172"/>
        </row>
        <row r="173">
          <cell r="F173"/>
          <cell r="G173"/>
        </row>
        <row r="174">
          <cell r="F174"/>
          <cell r="G174"/>
        </row>
        <row r="175">
          <cell r="F175"/>
          <cell r="G175"/>
        </row>
        <row r="176">
          <cell r="F176"/>
          <cell r="G176"/>
        </row>
        <row r="177">
          <cell r="F177"/>
          <cell r="G177"/>
        </row>
        <row r="178">
          <cell r="F178"/>
          <cell r="G178"/>
        </row>
        <row r="179">
          <cell r="F179"/>
          <cell r="G179"/>
        </row>
        <row r="180">
          <cell r="F180"/>
          <cell r="G180"/>
        </row>
        <row r="181">
          <cell r="F181"/>
          <cell r="G181"/>
        </row>
        <row r="182">
          <cell r="F182"/>
          <cell r="G182"/>
        </row>
        <row r="183">
          <cell r="F183"/>
          <cell r="G183"/>
        </row>
        <row r="184">
          <cell r="F184"/>
          <cell r="G184"/>
        </row>
        <row r="185">
          <cell r="F185"/>
          <cell r="G185"/>
        </row>
        <row r="186">
          <cell r="F186"/>
          <cell r="G186"/>
        </row>
        <row r="187">
          <cell r="F187"/>
          <cell r="G187"/>
        </row>
        <row r="188">
          <cell r="F188"/>
          <cell r="G188"/>
        </row>
        <row r="189">
          <cell r="F189"/>
          <cell r="G189"/>
        </row>
        <row r="190">
          <cell r="F190"/>
          <cell r="G190"/>
        </row>
        <row r="191">
          <cell r="F191"/>
          <cell r="G191"/>
        </row>
        <row r="192">
          <cell r="F192"/>
          <cell r="G192"/>
        </row>
        <row r="193">
          <cell r="F193"/>
          <cell r="G193"/>
        </row>
        <row r="194">
          <cell r="F194"/>
          <cell r="G194"/>
        </row>
        <row r="195">
          <cell r="G195"/>
        </row>
        <row r="196">
          <cell r="F196"/>
          <cell r="G196"/>
        </row>
        <row r="197">
          <cell r="F197"/>
          <cell r="G197"/>
        </row>
        <row r="198">
          <cell r="F198"/>
          <cell r="G198"/>
        </row>
        <row r="199">
          <cell r="F199"/>
          <cell r="G199"/>
        </row>
        <row r="200">
          <cell r="F200"/>
          <cell r="G200"/>
        </row>
        <row r="201">
          <cell r="F201"/>
          <cell r="G201"/>
        </row>
        <row r="202">
          <cell r="F202"/>
          <cell r="G202"/>
        </row>
        <row r="203">
          <cell r="F203"/>
          <cell r="G203"/>
        </row>
        <row r="204">
          <cell r="F204"/>
          <cell r="G204"/>
        </row>
        <row r="205">
          <cell r="F205"/>
          <cell r="G205"/>
        </row>
        <row r="206">
          <cell r="F206"/>
          <cell r="G206"/>
        </row>
        <row r="207">
          <cell r="F207"/>
          <cell r="G207"/>
        </row>
        <row r="208">
          <cell r="F208"/>
          <cell r="G208"/>
        </row>
        <row r="209">
          <cell r="F209"/>
          <cell r="G209"/>
        </row>
        <row r="210">
          <cell r="F210"/>
          <cell r="G210"/>
        </row>
        <row r="211">
          <cell r="F211"/>
          <cell r="G211"/>
        </row>
        <row r="212">
          <cell r="F212"/>
          <cell r="G212"/>
        </row>
        <row r="213">
          <cell r="F213"/>
          <cell r="G213"/>
        </row>
        <row r="214">
          <cell r="F214"/>
          <cell r="G214"/>
        </row>
        <row r="215">
          <cell r="F215"/>
          <cell r="G215"/>
        </row>
        <row r="216">
          <cell r="F216"/>
          <cell r="G216"/>
        </row>
        <row r="217">
          <cell r="F217"/>
          <cell r="G217"/>
        </row>
        <row r="218">
          <cell r="F218"/>
          <cell r="G218"/>
        </row>
        <row r="219">
          <cell r="F219"/>
          <cell r="G219"/>
        </row>
        <row r="220">
          <cell r="F220"/>
          <cell r="G220"/>
        </row>
        <row r="221">
          <cell r="F221"/>
          <cell r="G221"/>
        </row>
        <row r="222">
          <cell r="F222"/>
          <cell r="G222"/>
        </row>
        <row r="223">
          <cell r="F223"/>
          <cell r="G223"/>
        </row>
        <row r="224">
          <cell r="F224"/>
          <cell r="G224"/>
        </row>
        <row r="225">
          <cell r="F225"/>
          <cell r="G225"/>
        </row>
        <row r="226">
          <cell r="G226"/>
        </row>
        <row r="227">
          <cell r="F227"/>
          <cell r="G227"/>
        </row>
        <row r="228">
          <cell r="F228"/>
          <cell r="G228"/>
        </row>
        <row r="229">
          <cell r="F229"/>
          <cell r="G229"/>
        </row>
        <row r="230">
          <cell r="F230"/>
          <cell r="G230"/>
        </row>
        <row r="231">
          <cell r="F231"/>
          <cell r="G231"/>
        </row>
        <row r="232">
          <cell r="F232"/>
          <cell r="G232"/>
        </row>
        <row r="233">
          <cell r="F233"/>
          <cell r="G233"/>
        </row>
        <row r="234">
          <cell r="F234"/>
          <cell r="G234"/>
        </row>
        <row r="235">
          <cell r="F235"/>
          <cell r="G235"/>
        </row>
        <row r="236">
          <cell r="F236"/>
          <cell r="G236"/>
        </row>
        <row r="237">
          <cell r="F237"/>
          <cell r="G237"/>
        </row>
        <row r="238">
          <cell r="F238"/>
          <cell r="G238"/>
        </row>
        <row r="239">
          <cell r="F239"/>
          <cell r="G239"/>
        </row>
        <row r="240">
          <cell r="F240"/>
          <cell r="G240"/>
        </row>
        <row r="241">
          <cell r="F241"/>
          <cell r="G241"/>
        </row>
        <row r="242">
          <cell r="F242"/>
          <cell r="G242"/>
        </row>
        <row r="243">
          <cell r="F243"/>
          <cell r="G243"/>
        </row>
        <row r="244">
          <cell r="F244"/>
          <cell r="G244"/>
        </row>
        <row r="245">
          <cell r="F245"/>
          <cell r="G245"/>
        </row>
        <row r="246">
          <cell r="F246"/>
          <cell r="G246"/>
        </row>
        <row r="247">
          <cell r="F247"/>
          <cell r="G247"/>
        </row>
        <row r="248">
          <cell r="F248"/>
          <cell r="G248"/>
        </row>
        <row r="249">
          <cell r="F249"/>
          <cell r="G249"/>
        </row>
        <row r="250">
          <cell r="F250"/>
          <cell r="G250"/>
        </row>
        <row r="251">
          <cell r="F251"/>
          <cell r="G251"/>
        </row>
        <row r="252">
          <cell r="F252"/>
          <cell r="G252"/>
        </row>
        <row r="253">
          <cell r="F253"/>
          <cell r="G253"/>
        </row>
        <row r="254">
          <cell r="F254"/>
          <cell r="G254"/>
        </row>
        <row r="255">
          <cell r="F255"/>
          <cell r="G255"/>
        </row>
        <row r="256">
          <cell r="F256"/>
          <cell r="G256"/>
        </row>
        <row r="257">
          <cell r="F257"/>
          <cell r="G257"/>
        </row>
        <row r="258">
          <cell r="F258"/>
          <cell r="G258"/>
        </row>
        <row r="259">
          <cell r="F259"/>
          <cell r="G259"/>
        </row>
        <row r="260">
          <cell r="G260"/>
        </row>
        <row r="261">
          <cell r="F261"/>
          <cell r="G261"/>
        </row>
        <row r="262">
          <cell r="F262"/>
          <cell r="G262"/>
        </row>
        <row r="263">
          <cell r="F263"/>
          <cell r="G263"/>
        </row>
        <row r="264">
          <cell r="F264"/>
          <cell r="G264"/>
        </row>
        <row r="265">
          <cell r="F265"/>
          <cell r="G265"/>
        </row>
        <row r="266">
          <cell r="F266"/>
          <cell r="G266"/>
        </row>
        <row r="267">
          <cell r="F267"/>
          <cell r="G267"/>
        </row>
        <row r="268">
          <cell r="F268"/>
          <cell r="G268"/>
        </row>
        <row r="269">
          <cell r="F269"/>
          <cell r="G269"/>
        </row>
        <row r="270">
          <cell r="F270"/>
          <cell r="G270"/>
        </row>
        <row r="271">
          <cell r="F271"/>
          <cell r="G271"/>
        </row>
        <row r="272">
          <cell r="F272"/>
          <cell r="G272"/>
        </row>
        <row r="273">
          <cell r="F273"/>
          <cell r="G273"/>
        </row>
        <row r="274">
          <cell r="F274"/>
          <cell r="G274"/>
        </row>
        <row r="275">
          <cell r="F275"/>
          <cell r="G275"/>
        </row>
        <row r="276">
          <cell r="F276"/>
          <cell r="G276"/>
        </row>
        <row r="277">
          <cell r="F277"/>
          <cell r="G277"/>
        </row>
        <row r="278">
          <cell r="F278"/>
          <cell r="G278"/>
        </row>
        <row r="279">
          <cell r="F279"/>
          <cell r="G279"/>
        </row>
        <row r="280">
          <cell r="F280"/>
          <cell r="G280"/>
        </row>
        <row r="281">
          <cell r="F281"/>
          <cell r="G281"/>
        </row>
        <row r="282">
          <cell r="F282"/>
          <cell r="G282"/>
        </row>
        <row r="283">
          <cell r="F283"/>
          <cell r="G283"/>
        </row>
        <row r="284">
          <cell r="F284"/>
          <cell r="G284"/>
        </row>
        <row r="285">
          <cell r="F285"/>
          <cell r="G285"/>
        </row>
        <row r="286">
          <cell r="F286"/>
          <cell r="G286"/>
        </row>
        <row r="287">
          <cell r="F287"/>
          <cell r="G287"/>
        </row>
        <row r="288">
          <cell r="F288"/>
          <cell r="G288"/>
        </row>
        <row r="289">
          <cell r="F289"/>
          <cell r="G289"/>
        </row>
        <row r="290">
          <cell r="F290"/>
          <cell r="G290"/>
        </row>
        <row r="291">
          <cell r="F291"/>
          <cell r="G291"/>
        </row>
        <row r="292">
          <cell r="F292"/>
          <cell r="G292"/>
        </row>
        <row r="293">
          <cell r="F293"/>
          <cell r="G293"/>
        </row>
        <row r="294">
          <cell r="F294"/>
          <cell r="G294"/>
        </row>
      </sheetData>
      <sheetData sheetId="5">
        <row r="1">
          <cell r="A1" t="str">
            <v xml:space="preserve">Hanoi Airport  - Hanoi Hotel drop </v>
          </cell>
          <cell r="B1" t="str">
            <v xml:space="preserve">● ARRIVAL HANOI, VIETNAM
♦ Arrive In Noi Bai International Airport.
♦ Our Private Car Will Pick You Up From The Airport And Head Towards The Hotel.
♦ Early Check-in is not included . Take Necessary Rest After Flight.
♦ Overnight stay in Hanoi.
</v>
          </cell>
        </row>
        <row r="2">
          <cell r="A2" t="str">
            <v xml:space="preserve">Hanoi Airport - Hanoi - 4 Hour Hanoi City Tour - Hanoi Hotel drop </v>
          </cell>
          <cell r="B2" t="str">
            <v>● ARRIVAL HANOI - HANOI CITY TOUR, VIETNAM
♦ Arrive In Noi Bai International Airport.
♦ Our Private Car Will Pick You Up From The Airport And Head Towards The Hotel.
♦ Early Check-in is not included. Take Necessary Rest After Flight
♦ Check Out The Old Street Quarter For Hanoi City Tour – Visit The Temple of  Literature, Vietnam’s first university, Hoan Kiem Lake &amp; Ly Thai Statue, HCM Complex: Ho Chi Minh Mausoleum, One pillar Pagoda, Ba Dinh Square.
♦ 4 Hours tour then Check in Hotel. 
♦ Overnight stay in Hanoi.</v>
          </cell>
        </row>
        <row r="3">
          <cell r="A3" t="str">
            <v xml:space="preserve">Hanoi Airport - Hanoi - 4 Hour Hanoi City Tour - 50 Min Cyclo Tour - Hanoi Hotel Drop </v>
          </cell>
          <cell r="B3" t="str">
            <v xml:space="preserve">● ARRIVAL HANOI - HANOI CITY TOUR - 50 MIN CYCLO TOUR, VIETNAM                                             
♦ Arrive In Noi Bai International Airport.
♦ Our Private Car Will Pick You Up From The Airport And Head Towards The Hotel.
♦ Early Check-in is not included. Take Necessary Rest After Flight
♦ Check Out The Old Street Quarter For 4 hour Hanoi City Tour , 50 Min Cyclo Tour.
♦ After tour Check in Hotel. 
♦ Overnight stay in Hanoi.
</v>
          </cell>
        </row>
        <row r="4">
          <cell r="A4" t="str">
            <v xml:space="preserve">Hanoi Airport - Hanoi - 4 Hour Hanoi City Tour - 50 Min Cyclo Tour - Water Puppet Show - Hanoi Hotel Drop </v>
          </cell>
          <cell r="B4" t="str">
            <v xml:space="preserve">● ARRIVAL HANOI - HANOI CITY TOUR - 50 MIN CYCLO TOUR - WATER PUPPET SHOW, VIETNAM
♦ Arrive In Noi Bai International Airport.
♦ Our Private Car Will Pick You Up From The Airport And Head Towards The Hotel.
♦ Early Check-in is not included. Take Necessary Rest After Flight
Check Out The Old Street Quarter For 4 hours Hanoi City Tour, 50 Min Cyclo Tour, Water Puppet Show.
♦ After tour Check in Hotel. 
♦ Overnight stay in Hanoi.
</v>
          </cell>
        </row>
        <row r="5">
          <cell r="A5" t="str">
            <v xml:space="preserve">Hanoi Airport - Hanoi - 4 Hour Hanoi City Tour - Water Puppet Show - Hanoi Hotel Drop </v>
          </cell>
          <cell r="B5" t="str">
            <v xml:space="preserve">● ARRIVAL HANOI - HANOI CITY TOUR - WATER PUPPET SHOW, VIETNAM
♦ Arrive In Noi Bai International Airport.
♦ Our Private Car Will Pick You Up From The Airport And Head Towards The Hotel.
♦ Check Into The Hotel, Take Necessary Rest After Flight
Check Out The Old Street Quarter For 4 hour Hanoi City Tour, Water Puppet Show.
♦ After tour Check in Hotel. 
♦ Overnight stay in Hanoi.
</v>
          </cell>
        </row>
        <row r="6">
          <cell r="A6" t="str">
            <v>Hanoi Hotel - Full Day  Hanoi City Tour - Hotel Drop</v>
          </cell>
          <cell r="B6" t="str">
            <v xml:space="preserve">● FULL DAY - HANOI CITY TOUR                                                                                                                                                                                                                                                                                                                                                                  ♦ After breakfast, at 08:30 in the morning, our tour guide will pick you up and start with you on your journey to Full Day Hanoi City Tour driving  per way for transfer.                                                                                                                       ♦ Visit Hanoi City Tour – Visit The Temple of Literature, Vietnam’s first university, Hoan Kiem Lake &amp; Ly Thai Statue, HCM Complex: Ho Chi Minh Mausoleum, One pillar Pagoda, Ba Dinh Square.
♦ Evening come back to hotel, Overnight Stay in Hanoi.
</v>
          </cell>
        </row>
        <row r="7">
          <cell r="A7" t="str">
            <v>Hanoi Hotel - 4 Hours Hanoi City Tour - Hotel Drop</v>
          </cell>
          <cell r="B7" t="str">
            <v xml:space="preserve">● HALF DAY - HANOI CITY TOUR                                                                                                                                                                                                                                                                                                                                                                        ♦ After breakfast, at 08:30 in the morning, our tour guide will pick you up and start with you on your journey to Half day Hanoi City Tour driving  per way for transfer.                                                                                                                                      ♦ Visit Hanoi City Tour. 
♦ Evening come back to hotel, Free Time For Shopping. Overnight Stay in Hanoi.
</v>
          </cell>
        </row>
        <row r="8">
          <cell r="A8" t="str">
            <v xml:space="preserve">Hanoi Airport - 100 KM 2 hours - Ninh Binh Tour - Tam Coc - Hotel Drop </v>
          </cell>
          <cell r="B8" t="str">
            <v xml:space="preserve">● FULL DAY – NINH BINH TOUR                                                                                                                                                                                                                                                                                                                                                                   ♦ (100 KM 2 hours Drive)
♦ Arrive In Noi Bai International Airport.
♦ Our Private Car Will Pick You Up From The Airport And Head Towards The Depart For Ninh Binh Province
♦ Have A Short Break For 15 _ 20 Minutes To Relax
♦ Visit Hoa Lu, Ancient Capital Of Vietnam Between 968 And 1010. You Have A Chance To Learn About Vietnamese History In The Feudal System Under Dinh, Le, And Ly Dynasty
♦ Visit Tam Coc By 1.5-hour Bamboo Boat. You Will Be Surprised By The Charming Beauty Here With Paddy Fields, River, Water, Cloud, Sky, And A Stunning Cave System During The Boat Trip. All Make A Masterpiece That The Vietnamese People Called Ha Long Bay On Land Continue The Tour For 45 Mins - Cycling Around The Village To Discover The Life Of The Local People.
♦ Get On Car To Return To Hanoi
♦ Get Dropped Off At Hotel In Hanoi
♦ Overnight In Hanoi
</v>
          </cell>
        </row>
        <row r="9">
          <cell r="A9" t="str">
            <v xml:space="preserve">Hanoi Airport - 100 KM 2 hours - Ninh Binh Tour (With Lunch) - Tam Coc - Hotel Drop </v>
          </cell>
          <cell r="B9" t="str">
            <v xml:space="preserve">● FULL DAY – NINH BINH TOUR                                                                                                                                                                                                                                                                                                                                                                 ♦ (100 KM 2 hours Drive)                                                                                                                                                                                                                                                                                                                                                                                                                                       ♦ Arrive In Noi Bai International Airport.
♦ Get Picked Up By Our Friendly Driver Then Depart For Ninh Binh Province
Have A Short Break For 15 _ 20 Minutes To Relax
♦ Visit Hoa Lu, Ancient Capital Of Vietnam Between 968 And 1010. You Have A Chance To Learn About Vietnamese History In The Feudal System Under Dinh, Le, And Ly Dynasty
♦ Have A Buffet Lunch In The Restaurant With A Lot Of Local Foods Such As
Goat Meat, Fish, Chicken, And Fried Rice &amp;Vegetarian Foods Are Always Available In The Buffet Lunch
♦ Visit Tam Coc By 1.5-hour Bamboo Boat. You Will Be Surprised By The Charming Beauty Here With Paddy Fields, River, Water, Cloud, Sky, And A Stunning Cave System During The Boat Trip. All Make A Masterpiece That The Vietnamese People Called Ha Long Bay On Land
♦ Continue The Tour For 45 Mins - Cycling Around The Village To Discover The Life Of The Local People.
♦ Get On Car To Return To Hanoi
♦ Get Dropped Off At Hotel In Hanoi
♦ Overnight In Hanoi
</v>
          </cell>
        </row>
        <row r="10">
          <cell r="A10" t="str">
            <v xml:space="preserve">Hanoi Hotel - 100 KM 2 hours - Ninh Binh Tour - Tam Coc - Hotel Drop </v>
          </cell>
          <cell r="B10" t="str">
            <v xml:space="preserve">● FULL DAY – NINH BINH TOUR                                                                                                                                                                                                                                                                                                                                                                ♦ (100 KM 2 hours Drive)
♦ Get Picked Up By Our Friendly Driver Then Depart For Ninh Binh Province
Have A Short Break For 15 _ 20 Minutes To Relax
♦ Visit Hoa Lu, Ancient Capital Of Vietnam Between 968 And 1010. You Have A Chance To Learn About Vietnamese History In The Feudal System Under Dinh, Le, And Ly Dynasty
♦ Visit Tam Coc By 1.5-hour Bamboo Boat. You Will Be Surprised By The Charming Beauty Here With Paddy Fields, River, Water, Cloud, Sky, And A Stunning Cave System During The Boat Trip. All Make A Masterpiece That The Vietnamese People Called Ha Long Bay On Land Continue The Tour For 45 Mins - Cycling Around The Village To Discover The Life Of The Local People.
♦ Get On Car To Return To Hanoi
♦ Get Dropped Off At Hotel In Hanoi
♦ Overnight In Hanoi
</v>
          </cell>
        </row>
        <row r="11">
          <cell r="A11" t="str">
            <v xml:space="preserve">Hanoi Hotel - 100 KM 2 hours - Ninh Binh Tour (With Lunch ) - Tam Coc - Hotel Drop </v>
          </cell>
          <cell r="B11" t="str">
            <v xml:space="preserve">● FULL DAY – NINH BINH TOUR                                                                                                                                                                                                                                                                                                                                                                 ♦ (100 KM 2 hours Drive)
♦ Get Picked Up By Our Friendly Driver Then Depart For Ninh Binh Province
Have A Short Break For 15 _ 20 Minutes To Relax
♦ Visit Hoa Lu, Ancient Capital Of Vietnam Between 968 And 1010. You Have A Chance To Learn About Vietnamese History In The Feudal System Under Dinh, Le, And Ly Dynasty
♦ Have A Buffet Lunch In The Restaurant With A Lot Of Local Foods Such As
Goat Meat, Fish, Chicken, And Fried Rice &amp;Vegetarian Foods Are Always Available In The Buffet Lunch
♦ Visit Tam Coc By 1.5-hour Bamboo Boat. You Will Be Surprised By The Charming Beauty Here With Paddy Fields, River, Water, Cloud, Sky, And A Stunning Cave System During The Boat Trip. All Make A Masterpiece That The Vietnamese People Called Ha Long Bay On Land
♦ Continue The Tour For 45 Mins - Cycling Around The Village To Discover The Life Of The Local People.
♦ Get On Car To Return To Hanoi
♦ Get Dropped Off At Hotel In Hanoi
♦ Overnight In Hanoi
</v>
          </cell>
        </row>
        <row r="12">
          <cell r="A12" t="str">
            <v xml:space="preserve">Hanoi Airport - 200 Km 4 hours drive - Halong bay- 11:30 AM need to reach at Halong bay for cruise depart </v>
          </cell>
          <cell r="B12" t="str">
            <v xml:space="preserve">● HANOI ARRIVAL - CRUISE WITH TI TOP &amp; CAVE ROUTE– OVERNIGHT ON CRUISE  
♦ Arrive Hanoi Airport Transfer To Ha Long Bay. Spending 3.5 Hours On Car To See How Beautiful Landscape Of Red River Delta. Upon Arrival At The Harbor, Meet Our Cruise Crew To Join The Fantastic Journey Around The New Seven Wonder On Luxury Cruise. Welcome And Check-in To Cruise, Your Lunch Will Be Served While The Boat Slowly Slides On Romantic Waves Of The Sea. Afternoon Is Time For Many Interesting Activities Such As: Visiting The Cave, Kayaking, Swimming, Sunbathing, Cooking Class. Enjoy Special Dinner Dish And Continuing Night Program With The Crew.  
♦ Lunch And Dinner On Board.
♦ Overnight On Boat In Ha Long Bay.
♦ Please Note: The Program May Be Little Varied Upon The Cruise You Choose.
</v>
          </cell>
        </row>
        <row r="13">
          <cell r="A13" t="str">
            <v xml:space="preserve">Hanoi Hotel - 200 Km 4 hours drive - Halong bay- 11:30 AM need to reach at Halong bay for cruise depart </v>
          </cell>
          <cell r="B13" t="str">
            <v xml:space="preserve">● HANOI – HALONG BAY. STAY OVERNIGHT ON CRUISE 
♦ Note: Shared Transfer Hanoi – Halong Bay 
♦ After Breakfast, 07:30 AM Sharp transfer to Halong Bay.  3.5 -4 hours per way 
♦ Check in time around 12.00.                                                                                                                                                                                                                                                                                                                                                                              ♦ Local lunch &amp; dinner on cruise,                                                                                                                                                                                                                                                                                                                                                                 ♦ Overnight On Boat In Ha Long Bay.
</v>
          </cell>
        </row>
        <row r="14">
          <cell r="A14" t="str">
            <v>Hanoi Hotel - 200 Km 4 hours drive - Halong bay day cruise - 11:30 AM need to reach at Halong bay for cruise depart - 200 Km 4 hours drive - Hanoi Hotel Drop</v>
          </cell>
          <cell r="B14" t="str">
            <v xml:space="preserve">● HALONG BAY (1 DAY TRIP AND RETURN TO HANOI) 
♦ Our Car and Guide Pick You Up From Hotel / Stay And Follow The New Highway To Depart For Tuan Chau Island, Ha long City, Stop Over For A Rest On The Way
Arriving Tuan Chau Harbor, Welcome Aboard, And Safety Briefing The Ship Will Take You On An Over 5 Hours Journey Via 2 Day-sleeper Boat Cruise Route Which Renowned For Its Striking, Passages Uninhabited Islets And Outcrops Have Been Given Imaginative Names By The Locals, Due To Their Perceived Shapes, Including Cock Fighting And Thumb, While Enjoy Vietnamese Mouth-watering Lunch On Boat. Arriving Bo Hon Archipelago, You Will Visit Surprising Cave To See A Lot Of Stalagmites And Stalactites With Different Shapes Of Sea Lives, The Go Kayaking Or Bamboo Boat In Luon Cave To Discovery The Beautiful Lagoon.
♦ Visiting Titop Island with Sandy Beach Adjacent To The Towering Limestone Mountain With Excellent Backdrop Of The Bay, And Climb Up Titov Peak For A Panoramic View Of The Bay Like Paradise.
♦ Returning To Alova Premium Cruise With Afternoon Tea And Cruising Back Toward Tuan Chau Harbor. There Is A Lot Of Time For Sunbathing On The Upper Deck With Music, And Great Fun Of Group Touring Fellows Among World Iconic Natural Scenery.
♦ Disembarking For Going Back On The New Highway To Hanoi. 
♦ Dropping Off At Your Hotel
♦ Overnight In Hanoi
</v>
          </cell>
        </row>
        <row r="15">
          <cell r="A15" t="str">
            <v xml:space="preserve">Halong Bay - Hanoi 4 hour 200 km Drive - Hanoi Hotel drop    </v>
          </cell>
          <cell r="B15" t="str">
            <v xml:space="preserve">● HALONG BAY – HANOI 
♦ Today, Start-up Your New Day With Tai Chi Instruction Or Just Do Sunbathing On Sundeck And Feeling The Magnificent Dawn Scen Surrounding, Then Enjoy Cruise Breakfast And As Per Cruise’s (Visit Cave Or Floating Village…) Until Lunch Time At 11:00 Am. You Will Be Returned To The Main Harbor Before Transferring To Our Awaiting Vehicle. 
♦ Transfer Back To Hanoi. Check into Hanoi Hotel.
♦ Overnight Stay in Hanoi.
</v>
          </cell>
        </row>
        <row r="16">
          <cell r="A16" t="str">
            <v xml:space="preserve">Halong Bay - Hanoi 4 hour 200 km Drive - Hanoi - 4 Hours Hanoi City Tour - Hanoi Hotel drop    </v>
          </cell>
          <cell r="B16" t="str">
            <v xml:space="preserve">● HALONG BAY – HANOI – CITY TOUR WITH GUIDE                                                                                                                                                                                                                                                                                                                                                   ♦ Today, Start-up Your New Day With Tai Chi Instruction Or Just Do Sunbathing On Sundeck And Feeling The Magnificent Dawn Scen Surrounding, Then Enjoy Cruise Breakfast And As Per Cruise’s (Visit Cave Or Floating Village…) Until Lunch Time At 11:00 Am. You Will Be Returned To The Main Harbor Before Transferring To Our Awaiting Vehicle. 
♦ Transfer Back To Hanoi. Check into Hanoi Hotel. Guide Pick up from Hotel. 4 Hrs Hanoi city tour 
♦ Overnight Stay in Hanoi.
</v>
          </cell>
        </row>
        <row r="17">
          <cell r="A17" t="str">
            <v xml:space="preserve">Halong Bay - Hanoi 4 hour 200 km Drive - Hanoi Airport drop    </v>
          </cell>
          <cell r="B17" t="str">
            <v xml:space="preserve">● HALONG BAY – HANOI AIRPORT DEPARTURE                                                                                                                                                                                                                                                                                                                                                              ♦ Cruise Check out time is 10.30 – 11.00
3.5 -4 hours per way, Breakfast &amp; brunch on the cruise
♦ Cruise arrival 11:00 AM and then our car pick-up you towards Hanoi - Noi Bai airport for departure flight.
</v>
          </cell>
        </row>
        <row r="18">
          <cell r="A18" t="str">
            <v>Hanoi Airport - 300KM 6 hour Sapa - Sapa Hotel Drop  (1 Night)</v>
          </cell>
          <cell r="B18" t="str">
            <v>● HANOI – SAPA – FREE TIME IN TOWN (1 Night)
♦ (300 KM 6 hours)
♦ After Breakfast, Checkout From Hotel &amp; Transfer to SAPA. 
♦ Sapa is a place of natural beauty, with cascading rice terraces, misty valleys, and majestic peaks. It is also a cultural hub, home to several ethnic minority groups with unique customs and traditions.
♦ Proceed For Hotel Check-in. Free to discover Sapa town..  
♦ Overnight Stay In SAPA.</v>
          </cell>
        </row>
        <row r="19">
          <cell r="A19" t="str">
            <v>Hanoi Airport - 300KM 6 hour Sapa - Sapa Hotel Drop  (2 Nights)</v>
          </cell>
          <cell r="B19" t="str">
            <v>● HANOI – SAPA – FREE TIME IN TOWN (2 Nights)
♦ (300 KM 6 hours)
♦ After Breakfast, Checkout From Hotel &amp; Transfer to SAPA. 
♦ Sapa is a place of natural beauty, with cascading rice terraces, misty valleys, and majestic peaks. It is also a cultural hub, home to several ethnic minority groups with unique customs and traditions.
♦ Proceed For Hotel Check-in. Free to discover Sapa town..  
♦ Overnight Stay In SAPA.</v>
          </cell>
        </row>
        <row r="20">
          <cell r="A20" t="str">
            <v>Hanoi Airport - 300KM 6 hour Sapa -  Sapa Hotel Drop  (3 Nights)</v>
          </cell>
          <cell r="B20" t="str">
            <v>● HANOI – SAPA – FREE TIME IN TOWN (3 Nights)
♦ (300 KM 6 hours)
♦ After Breakfast, Checkout From Hotel &amp; Transfer to SAPA. 
♦ Sapa is a place of natural beauty, with cascading rice terraces, misty valleys, and majestic peaks. It is also a cultural hub, home to several ethnic minority groups with unique customs and traditions.
♦ Proceed For Hotel Check-in. Free to discover Sapa town..  
♦ Overnight Stay In SAPA.</v>
          </cell>
        </row>
        <row r="21">
          <cell r="A21" t="str">
            <v>Hanoi Hotel - 300KM 6 hour Sapa -  Sapa Hotel Drop (1 Night)</v>
          </cell>
          <cell r="B21" t="str">
            <v>● HANOI – SAPA – FREE TIME IN TOWN (1 Night)
♦ (300 KM 6 hours)
♦ After Breakfast, Checkout From Hotel &amp; Transfer to SAPA. 
♦ Sapa is a place of natural beauty, with cascading rice terraces, misty valleys, and majestic peaks. It is also a cultural hub, home to several ethnic minority groups with unique customs and traditions.
♦ Proceed For Hotel Check-in. Free to discover Sapa town..  
♦ Overnight Stay In SAPA.</v>
          </cell>
        </row>
        <row r="22">
          <cell r="A22" t="str">
            <v>Hanoi Hotel - 300KM 6 hour Sapa -  Sapa Hotel Drop  (2 Nights)</v>
          </cell>
          <cell r="B22" t="str">
            <v>● HANOI – SAPA – FREE TIME IN TOWN (2 Nights)
♦ (300 KM 6 hours)
♦ After Breakfast, Checkout From Hotel &amp; Transfer to SAPA. 
♦ Sapa is a place of natural beauty, with cascading rice terraces, misty valleys, and majestic peaks. It is also a cultural hub, home to several ethnic minority groups with unique customs and traditions.
♦ Proceed For Hotel Check-in. Free to discover Sapa town..  
♦ Overnight Stay In SAPA.</v>
          </cell>
        </row>
        <row r="23">
          <cell r="A23" t="str">
            <v>Hanoi Hotel - 300KM 6 hour Sapa -  Sapa Hotel Drop  (3 Nights)</v>
          </cell>
          <cell r="B23" t="str">
            <v>● HANOI – SAPA – FREE TIME IN TOWN (3 Nights)
♦ (300 KM 6 hours)
♦ After Breakfast, Checkout From Hotel &amp; Transfer to SAPA. 
♦ Sapa is a place of natural beauty, with cascading rice terraces, misty valleys, and majestic peaks. It is also a cultural hub, home to several ethnic minority groups with unique customs and traditions.
♦ Proceed For Hotel Check-in. Free to discover Sapa town..  
♦ Overnight Stay In SAPA.</v>
          </cell>
        </row>
        <row r="24">
          <cell r="A24" t="str">
            <v xml:space="preserve">Hanoi Airport - 300KM 6 hour Sapa - Moana Sculpture - Sapa Hotel Drop  </v>
          </cell>
          <cell r="B24" t="str">
            <v>● HANOI AIRPORT – SAPA – MOANA SCULPTURE - SAPA                                                                                                                                                                                                                                                                                                                     ♦ (300 KM 6 hours)
♦ Arrive Hanoi Airport Transfer To SAPA. 
♦ Sapa is a place of natural beauty, with cascading rice terraces, misty valleys, and majestic peaks. It is also a cultural hub, home to several ethnic minority groups with unique customs and traditions.
♦ We visit Moana SAPA, Coming to this place, you can not only admire the majestic natural landscape mixed with mountains and forests, but also have the opportunity to check in countless beautiful photos with super quality virtual living angles here.
♦Overnight Stay in SAPA.</v>
          </cell>
        </row>
        <row r="25">
          <cell r="A25" t="str">
            <v xml:space="preserve">Hanoi Airport - 300KM 6 hour Sapa - Cat Cat Village Tour - Sapa Hotel Drop  </v>
          </cell>
          <cell r="B25" t="str">
            <v xml:space="preserve">● HANOI AIRPORT – SAPA – CAT CAT VILLAGE TOUR - SAPA
♦ (300 KM 6 hours)
♦ Arrive Hanoi Airport Transfer To SAPA. 
♦ Sapa is a place of natural beauty, with cascading rice terraces, misty valleys, and majestic peaks. It is also a cultural hub, home to several ethnic minority groups with unique customs and traditions.
♦ We visit Cat Cat Village, known as the most beautiful village in the Northwest. This Place is where the H and Mong ethnic people live, with extremely beautiful and unique still  roofs hidden at the foot of the Hoang Lien Son mountain range. You can learn about the customs and traditions of weaving and dyeing, beautiful shimmering brocade dresses and shirts are also made from wooden looms and their skilful hands. You can try weaving….  Cultural exchanges. Interact with the people here. Next, you will visit Cat Cat waterfall, a hydroelectric plant built by the French, admire terraced fields..                                                                                                                            ♦ Overnight Stay in SAPA.
</v>
          </cell>
        </row>
        <row r="26">
          <cell r="A26" t="str">
            <v xml:space="preserve">Hanoi Airport - 300KM 6 hour Sapa - Glass Bottom Bridge - Sapa Hotel Drop  </v>
          </cell>
          <cell r="B26" t="str">
            <v xml:space="preserve">● HANOI AIRPORT - SAPA - GLASS BOTTOM BRIDGE - SAPA
♦ (300 KM 6 hours)
♦ Arrive Hanoi Airport Transfer To SAPA.                                                                                                                                                                                                                                                                                                                                                          ♦ Sapa is a place of natural beauty, with cascading rice terraces, misty valleys, and majestic peaks. It is also a cultural hub, home to several ethnic minority groups with unique customs and traditions.                                                                                                     ♦ Visit to the Glass Bottom Bridge. check in to the Glass Bridge. At the moment, Sapa Glass Bridge is the longest Glass Bridge in Indochina. This bridge is not so big, only 60m long and 5m wide, however, at the height of more than 2000m above sea level, the view from Sapa Glass Bridge is absolutely stunning! Besides, the Glass Bridge is about 60m far from the cliff bringing the 360o panorama view to the guests.
♦ Overnight Stay in SAPA.
</v>
          </cell>
        </row>
        <row r="27">
          <cell r="A27" t="str">
            <v xml:space="preserve">Hanoi Hotel - 300KM 6 hour Sapa - Moana Sculpture - Cat Cat Village tour - Sapa Hotel Drop  </v>
          </cell>
          <cell r="B27" t="str">
            <v xml:space="preserve">● HANOI – SAPA – MOANA SCULPTURE – CAT CAT VILLAGE TOUR WITH GUIDE - SAPA                                                                                                                                                                                                                                                                                                               ♦ (300 KM 6 hours)
♦ After Breakfast, Checkout From Hotel &amp; Transfer to SAPA.
♦ Sapa is a place of natural beauty, with cascading rice terraces, misty valleys, and majestic peaks. It is also a cultural hub, home to several ethnic minority groups with unique customs and traditions.  
♦ We visit Moana SAPA, Coming to this place, you can not only admire the majestic natural landscape mixed with mountains and forests, but also have the opportunity to check in countless beautiful photos with super quality virtual living angles here.
♦ Next we visit Cat Cat Village, known as the most beautiful village in the Northwest. This Place is where the H and Mong ethnic people live, with extremely beautiful and unique still  roofs hidden at the foot of the Hoang Lien Son mountain range. You can learn about the customs and traditions of weaving and dyeing, beautiful shimmering brocade dresses and shirts are also made from wooden looms and their skilful hands.                                                                                                        ♦ You can try weaving….  Cultural exchanges. Interact with the people here. Next, you will visit Cat Cat waterfall, a hydroelectric plant built by the French, admire terraced fields.. 
♦ Overnight Stay in SAPA. 
</v>
          </cell>
        </row>
        <row r="28">
          <cell r="A28" t="str">
            <v xml:space="preserve">Sapa Hotel - Moana Sculpture - Cat Cat Village tour - Sapa Hotel Drop </v>
          </cell>
          <cell r="B28" t="str">
            <v xml:space="preserve">● SAPA – MOANA SCULPTURE – CAT CAT VILLAGE TOUR - SAPA
♦ After Breakfast At Hotel.
♦ We visit Moana SAPA, Coming to this place, you can not only admire the majestic natural landscape mixed with mountains and forests, but also have the opportunity to check in countless beautiful photos with super quality virtual living angles here.
♦ Next we visit Cat Cat Village, known as the most beautiful village in the Northwest. This Place is where the H and Mong ethnic people live, with extremely beautiful and unique still  roofs hidden at the foot of the Hoang Lien Son mountain range. You can learn about the customs and traditions of weaving and dyeing, beautiful shimmering brocade dresses and shirts are also made from wooden looms and their skilful hands.                                                                            ♦ You can try weaving….  Cultural exchanges. Interact with the people here. Next, you will visit Cat Cat waterfall, a hydroelectric plant built by the French, admire terraced fields.. 
♦ Overnight Stay in SAPA. 
</v>
          </cell>
        </row>
        <row r="29">
          <cell r="A29" t="str">
            <v xml:space="preserve">Sapa Hotel - Moana Sculpture - Sapa Hotel Drop </v>
          </cell>
          <cell r="B29" t="str">
            <v xml:space="preserve">● SAPA – MOANA SCULPTURE  - SAPA
♦ After Breakfast At Hotel.
♦ We visit Moana SAPA, Coming to this place, you can not only admire the majestic natural landscape mixed with mountains and forests, but also have the opportunity to check in countless beautiful photos with super quality virtual living angles here.
♦ Overnight Stay in SAPA. 
</v>
          </cell>
        </row>
        <row r="30">
          <cell r="A30" t="str">
            <v xml:space="preserve">Sapa Hotel - Cat Cat Village tour - Sapa Hotel Drop </v>
          </cell>
          <cell r="B30" t="str">
            <v xml:space="preserve">● SAPA –  CAT CAT VILLAGE TOUR - SAPA
♦ After Breakfast At Hotel.
♦ We visit Cat Cat Village, known as the most beautiful village in the Northwest. This Place is where the H and Mong ethnic people live, with extremely beautiful and unique still  roofs hidden at the foot of the Hoang Lien Son mountain range. You can learn about the customs and traditions of weaving and dyeing, beautiful shimmering brocade dresses and shirts are also made from wooden looms and their skilful hands. You can try weaving….  Cultural exchanges. Interact with the people here. Next, you will visit Cat Cat waterfall, a hydroelectric plant built by the French, admire terraced fields.. 
♦ Overnight Stay in SAPA. 
</v>
          </cell>
        </row>
        <row r="31">
          <cell r="A31" t="str">
            <v xml:space="preserve">Sapa Hotel -  Fansipan Mountain - Glass Bottom Bridge - 300km 6 hour drive - Hanoi Hotel drop </v>
          </cell>
          <cell r="B31" t="str">
            <v xml:space="preserve">● SAPA – FANSIPAN MOUNTAIN - GLASS BOTTOM BRIDGE - HANOI
♦ After Breakfast At Hotel. Today you will have great experience to conquer the top of Indochina – Fansipan Mount Peak in Sapa, by cable car, just have a seat tight in a cabin, within only 15 minutes move through some levels of clouds, on the cable car you are above forest, waterfall, through and above clouds… You will reach the top of Fansipan at 3143m high – the roof top of Indochina countries. The cable route has welcomed thousands of coming tourists to Sapa to make their dream of conquering the highest Indochina peak to be real. Visit Pagoda in the mist and check in photo at peak of mountain… All stunning view are there with you. After enjoying the view on top of Indochina, you will use cable car back to foot our mountain. Visit to the Glass Bottom Bridge. check in to the Glass Bridge. At the moment, Sapa Glass Bridge is the longest Glass Bridge in Indochina. This bridge is not so big, only 60m long and 5m wide, however, at the height of more than 2000m above sea level, the view from Sapa Glass Bridge is absolutely stunning! Besides, the Glass Bridge is about 60m far from the cliff bringing the 360o panorama view to the guests.
♦ Transfer Back To Hanoi.                                                                                                                                                                                                                                                                                                                                                                         ♦ Overnight Stay in Hanoi.
</v>
          </cell>
        </row>
        <row r="32">
          <cell r="A32" t="str">
            <v xml:space="preserve">Sapa Hotel -  Fansipan Mountain - 300km 6 hour drive  - Hanoi Hotel drop </v>
          </cell>
          <cell r="B32" t="str">
            <v xml:space="preserve">● SAPA – FANSIPAN MOUNTAIN - HANOI
♦ After Breakfast At Hotel. Today you will have great experience to conquer the top of Indochina – Fansipan Mount Peak in Sapa, by cable car, just have a seat tight in a cabin, within only 15 minutes move through some levels of clouds, on the cable car you are above forest, waterfall, through and above clouds… You will reach the top of Fansipan at 3143m high – the roof top of Indochina countries. The cable route has welcomed thousands of coming tourists to Sapa to make their dream of conquering the highest Indochina peak to be real. Visit Pagoda in the mist and check in photo at peak of mountain… All stunning view are there with you. After enjoying the view on top of Indochina, you will use cable car back to foot our mountain.
♦ Transfer Back To Hanoi.                                                                                                                                                                                                                                                                                                                                                                ♦ Overnight Stay in Hanoi.
</v>
          </cell>
        </row>
        <row r="33">
          <cell r="A33" t="str">
            <v xml:space="preserve">Sapa Hotel -  Glass Bottom Bridge - 300km 6 hour drive  - Hanoi Hotel drop </v>
          </cell>
          <cell r="B33" t="str">
            <v xml:space="preserve">● SAPA - GLASS BOTTOM BRIDGE - HANOI
♦ After Breakfast At Hotel. Visit to the Glass Bottom Bridge. check in to the Glass Bridge. At the moment, Sapa Glass Bridge is the longest Glass Bridge in Indochina. This bridge is not so big, only 60m long and 5m wide, however, at the height of more than 2000m above sea level, the view from Sapa Glass Bridge is absolutely stunning! Besides, the Glass Bridge is about 60m far from the cliff bringing the 360o panorama view to the guests.
♦ Transfer Back To Hanoi.                                                                                                                                                                                                                                                                                                                                                                            ♦ Overnight Stay in Hanoi.
</v>
          </cell>
        </row>
        <row r="34">
          <cell r="A34" t="str">
            <v xml:space="preserve">Sapa Hotel -  Fansipan Mountain - Glass Bottom Bridge -  Sapa Hotel drop </v>
          </cell>
          <cell r="B34" t="str">
            <v>● SAPA – FANSIPAN MOUNTAIN - GLASS BOTTOM BRIDGE - SAPA
♦ After Breakfast At Hotel. Today you will have great experience to conquer the top of Indochina – Fansipan Mount Peak in Sapa, by cable car, just have a seat tight in a cabin, within only 15 minutes move through some levels of clouds, on the cable car you are above forest, waterfall, through and above clouds… You will reach the top of Fansipan at 3143m high – the roof top of Indochina countries. The cable route has welcomed thousands of coming tourists to Sapa to make their dream of conquering the highest Indochina peak to be real. Visit Pagoda in the mist and check in photo at peak of mountain… All stunning view are there with you. After enjoying the view on top of Indochina, you will use cable car back to foot our mountain. Visit to the Glass Bottom Bridge. check in to the Glass Bridge. At the moment, Sapa Glass Bridge is the longest Glass Bridge in Indochina. This bridge is not so big, only 60m long and 5m wide, however, at the height of more than 2000m above sea level, the view from Sapa Glass Bridge is absolutely stunning! Besides, the Glass Bridge is about 60m far from the cliff bringing the 360o panorama view to the guests.
♦ Overnight Stay in SAPA.</v>
          </cell>
        </row>
        <row r="35">
          <cell r="A35" t="str">
            <v xml:space="preserve">Sapa Hotel -  Fansipan Mountain - Sapa Hotel drop </v>
          </cell>
          <cell r="B35" t="str">
            <v>● SAPA – FANSIPAN MOUNTAIN - SAPA
♦ After Breakfast At Hotel. Today you will have great experience to conquer the top of Indochina – Fansipan Mount Peak in Sapa, by cable car, just have a seat tight in a cabin, within only 15 minutes move through some levels of clouds, on the cable car you are above forest, waterfall, through and above clouds… You will reach the top of Fansipan at 3143m high – the roof top of Indochina countries. The cable route has welcomed thousands of coming tourists to Sapa to make their dream of conquering the highest Indochina peak to be real. Visit Pagoda in the mist and check in photo at peak of mountain… All stunning view are there with you. After enjoying the view on top of Indochina, you will use cable car back to foot our mountain.
♦ Overnight Stay in SAPA.</v>
          </cell>
        </row>
        <row r="36">
          <cell r="A36" t="str">
            <v xml:space="preserve">Sapa Hotel -  Glass Bottom Bridge -  Sapa Hotel drop </v>
          </cell>
          <cell r="B36" t="str">
            <v>● SAPA - GLASS BOTTOM BRIDGE - SAPA
♦ After Breakfast At Hotel. Visit to the Glass Bottom Bridge. check in to the Glass Bridge. At the moment, Sapa Glass Bridge is the longest Glass Bridge in Indochina. This bridge is not so big, only 60m long and 5m wide, however, at the height of more than 2000m above sea level, the view from Sapa Glass Bridge is absolutely stunning! Besides, the Glass Bridge is about 60m far from the cliff bringing the 360o panorama view to the guests.
♦ Overnight Stay in SAPA.</v>
          </cell>
        </row>
        <row r="37">
          <cell r="A37" t="str">
            <v>Hanoi Airport - Hanoi - 300 KM 6 hours Drive - Sapa - Sapa Hotel Drop</v>
          </cell>
          <cell r="B37" t="str">
            <v xml:space="preserve">● HANOI AIRPORT – SAPA – FREE TIME IN TOWN 
♦ Arrive In Noi Bai International Airport.
♦ Our Private Car Will Pick You Up From The Airport And Head Towards SAPA.
Sapa is a place of natural beauty, with cascading rice terraces, misty valleys, and majestic peaks. It is also a cultural hub, home to several ethnic minority groups with unique customs and traditions.
♦ Proceed For Hotel Check-in. free to discover Sapa town..  
♦ Overnight Stay In SAPA.
</v>
          </cell>
        </row>
        <row r="38">
          <cell r="A38" t="str">
            <v xml:space="preserve">Hanoi Hotel - Hanoi Airport Drop </v>
          </cell>
          <cell r="B38" t="str">
            <v>● HANOI DEPARTURE 
♦ Free time upto check out and then your car transfer you to Hanoi Airport For Next Flight.</v>
          </cell>
        </row>
        <row r="39">
          <cell r="A39" t="str">
            <v xml:space="preserve">Sapa Hotel - 300 KM 6 hours Drive - Hanoi - Hanoi Airport Drop </v>
          </cell>
          <cell r="B39" t="str">
            <v xml:space="preserve">● SAPA - HANOI AIRPORT 
♦ (300 KM 6 hours)
♦ After Breakfast, Checkout From Hotel &amp; Transfer Back To Hanoi Airport For Next Flight.
</v>
          </cell>
        </row>
        <row r="41">
          <cell r="A41" t="str">
            <v xml:space="preserve">Danang Airport - Danang Hotel Drop </v>
          </cell>
          <cell r="B41" t="str">
            <v xml:space="preserve">● ARRIVAL DANANG CITY, VIETNAM                                                                                                                                                                                                                                                                                                                                                                ♦ Da Nang Is A Coastal City In Central Vietnam Known For Its Sandy Beaches And History As A French Colonial Port. Upon Arrival At Da Nang, Check In To Hotel.                 
♦ Overnight Stay In Da Nang.
</v>
          </cell>
        </row>
        <row r="42">
          <cell r="A42" t="str">
            <v xml:space="preserve">Danang Airport - Danang - Danang City Tour - Danang Hotel Drop  </v>
          </cell>
          <cell r="B42" t="str">
            <v>● ARRIVAL DANANG CITY, VIETNAM                                                                                                                                                                                                                                                                                                                                                                                ♦ Da Nang Is A Coastal City In Central Vietnam Known For Its Sandy Beaches And History As A French Colonial Port. Upon Arrival At Da Nang. Danang City Tour. After Check In To Hotel.                 
♦ Overnight Stay In Da Nang.</v>
          </cell>
        </row>
        <row r="43">
          <cell r="A43" t="str">
            <v>Danang Hotel - Danang City Tour - Danang Hotel Drop</v>
          </cell>
          <cell r="B43" t="str">
            <v>● DANANG CITY                                                                                                                                                                                                                                                                                                                                                                                                                                ♦ At 08:30 in the morning, our tour guide will pick you up and start with you on your journey to Danang City Tour. After Check In To Hotel.                 
♦ Overnight Stay In Da Nang.</v>
          </cell>
        </row>
        <row r="44">
          <cell r="A44" t="str">
            <v xml:space="preserve">Danang Hotel - Ba Na Hills - Danang hotel </v>
          </cell>
          <cell r="B44" t="str">
            <v xml:space="preserve">● DA NANG – BA NA HILLS – DANANG 
♦ After Breakfast At Hotel, Morning Transfer To Ba Na Hill, One Of The Most Spectacular Landscape Of Danang City. You Will Take A Cable Car To The Summit Of Mountain (At 1487m Of Sea Level). Start Visiting Ba Na Hill With Many Different Attractions: Funicular &amp; Le Jardin D’amour, Linh Ung Pagoda, Thich Ca Buddist Statue, Etc. This Afternoon You Continue To Join Activities And Games In Fantasy Later Walk To The Summit Of The Mountain At The Height 1487m – The Ba Na Mountain, Visit Bell Tower, Nghinh Phong Tower And Golden Bridge, To Take Beautiful Photos Of The Mountain And Da Nang City. Late Afternoon, Cable Car Back To Foothill.
♦ Overnight Stay In Danang.
(Please Note: Debay Ancient Wine Cellar, Wax Museum, Cotton Animal Game And Carnival Skill At Fantasy Park Is Not Included In My Quotation, Joining Them Will Be At Your Own Account.) 
</v>
          </cell>
        </row>
        <row r="45">
          <cell r="A45" t="str">
            <v xml:space="preserve">Danang Hotel - Ba Na Hills (With Lunch) - Danang hotel </v>
          </cell>
          <cell r="B45" t="str">
            <v xml:space="preserve">● DA NANG – BA NA HILLS – DANANG
♦ After Breakfast At Hotel, Morning Transfer To Ba Na Hill, One Of The Most Spectacular Landscape Of Danang City. You Will Take A Cable Car To The Summit Of Mountain (At 1487m Of Sea Level). Start Visiting Ba Na Hill With Many Different Attractions: Funicular &amp; Le Jardin D’amour, Linh Ung Pagoda, Thich Ca Buddist Statue, Etc Lunch At Restaurant In Bana Hills. This Afternoon You Continue To Join Activities And Games In Fantasy Later Walk To The Summit Of The Mountain At The Height 1487m – The Ba Na Mountain, Visit Bell Tower, Nghinh Phong Tower And Golden Bridge, To Take Beautiful Photos Of The Mountain And Da Nang City. Late Afternoon, Cable Car Back To Foothill.
♦ Overnight Stay In Danang.
(Please Note: Debay Ancient Wine Cellar, Wax Museum, Cotton Animal Game And Carnival Skill At Fantasy Park Is Not Included In My Quotation, Joining Them Will Be At Your Own Account.) 
</v>
          </cell>
        </row>
        <row r="46">
          <cell r="A46" t="str">
            <v xml:space="preserve">Danang Hotel - Marble Mountain - Coconut Village - Basket Boat Ride - Hoi An Ancient Town - Lantern Boat Ride - Hotel Drop  </v>
          </cell>
          <cell r="B46" t="str">
            <v xml:space="preserve">● DANANG HOTEL – MARBLE MOUNTAIN – BASKET BOAT RIDE - HOI AN ANCIENT TOWN
♦ After Breakfast,  Start Our Tour By Visiting Marble Mountain. Climb Thuy Son (Water Mountain) By The Stone Stairs (Elevator For Two Ways) And Enjoy The Panoramic View Of The Nearby
♦ Countryside, And Visit Huyen Khong Cave Before Entering Tam Thai And Linh Ung Pagodas Where You Will Be Rewarded By Great City Views And Amazed By The Main Cave Which Houses A Beautiful Cham Buddha Sitting Under A Natural haft Of Light. Drive To Cam Thanh Commune To Visit Bay Mau Coconut Forest. Some Activities You Can Experience: 
♦ Visit The Bay Mau Coconut Forest By Basket Boat
♦ See The Daily Life Of Local People In Bay Mau Coconut Forest.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Evening, Take A Lantern Boat Trip Along The Hoai River. During The Boat Ride, Visitors Can Release Colorful Lanterns Onto The Calm River Water. They Will Be Given A Lantern Made From Colored Paper With A Candle In The Middle To Release Onto The Water While Making A Wish.
♦ Overnight Stay In Danang.
</v>
          </cell>
        </row>
        <row r="47">
          <cell r="A47" t="str">
            <v xml:space="preserve">Danang Hotel - Marble Mountain - Coconut Village - Basket Boat Ride - Hoi An Ancient Town - Hotel Drop  </v>
          </cell>
          <cell r="B47" t="str">
            <v xml:space="preserve"> ● DANANG HOTEL – MARBLE MOUNTAIN – BASKET BOAT RIDE - HOI AN ANCIENT TOWN
♦ After Breakfast,  Start Our Tour By Visiting Marble Mountain. Climb Thuy Son (Water Mountain) By The Stone Stairs (Elevator For Two Ways) And Enjoy The Panoramic View Of The Nearby
Countryside, And Visit Huyen Khong Cave Before Entering Tam Thai And Linh Ung Pagodas Where You Will Be Rewarded By Great City Views And Amazed By The Main Cave Which Houses A Beautiful Cham Buddha Sitting Under A Natural haft Of Light. Drive To Cam Thanh Commune To Visit Bay Mau Coconut Forest. Some Activities You Can Experience: 
♦ Visit The Bay Mau Coconut Forest By Basket Boat
♦ See The Daily Life Of Local People In Bay Mau Coconut Forest.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 Overnight Stay In Danang.</v>
          </cell>
        </row>
        <row r="48">
          <cell r="A48" t="str">
            <v xml:space="preserve">Danang Hotel - Marble Mountain - Coconut Village ( Basket Boat Ride By Own ) - Hoi An Ancient Town - Hotel Drop  </v>
          </cell>
          <cell r="B48" t="str">
            <v>●  DANANG HOTEL – MARBLE MOUNTAIN – BASKET BOAT RIDE - HOI AN ANCIENT TOWN
♦ After Breakfast,  Start Our Tour By Visiting Marble Mountain. Climb Thuy Son (Water Mountain) By The Stone Stairs (Elevator For Two Ways) And Enjoy The Panoramic View Of The Nearby
Countryside, And Visit Huyen Khong Cave Before Entering Tam Thai And Linh Ung Pagodas Where You Will Be Rewarded By Great City Views And Amazed By The Main Cave Which Houses A Beautiful Cham Buddha Sitting Under A Natural haft Of Light. Drive To Cam Thanh Commune To Visit Bay Mau Coconut Forest. Some Activities You Can Experience: 
♦ Visit The Bay Mau Coconut Forest By Basket Boat Ride By Own.
♦ See The Daily Life Of Local People In Bay Mau Coconut Forest.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v>
          </cell>
        </row>
        <row r="49">
          <cell r="A49" t="str">
            <v xml:space="preserve">Danang Hotel - Marble Mountain - Hoi An Ancient Town - Hotel Drop  </v>
          </cell>
          <cell r="B49" t="str">
            <v>● DANANG HOTEL – MARBLE MOUNTAIN – BASKET BOAT RIDE - HOI AN ANCIENT TOWN
♦ After Breakfast,  Start Our Tour By Visiting Marble Mountain. Climb Thuy Son (Water Mountain) By The Stone Stairs (Elevator For Two Ways) And Enjoy The Panoramic View Of The Nearby
Countryside, And Visit Huyen Khong Cave Before Entering Tam Thai And Linh Ung Pagodas Where You Will Be Rewarded By Great City Views And Amazed By The Main Cave Which Houses A Beautiful Cham Buddha Sitting Under A Natural haft Of Light.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v>
          </cell>
        </row>
        <row r="50">
          <cell r="A50" t="str">
            <v xml:space="preserve">Danang Hotel - Hoi An Ancient Town - Hotel Drop  </v>
          </cell>
          <cell r="B50" t="str">
            <v>● DANANG HOTEL - HOI AN ANCIENT TOWN
♦ After Breakfast,  Start Our Tour By Visiting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v>
          </cell>
        </row>
        <row r="51">
          <cell r="A51" t="str">
            <v xml:space="preserve">Danang Hotel - Coconut Village ( Basket Boat Ride By Own ) - Hoi An Ancient Town - Hotel Drop  </v>
          </cell>
          <cell r="B51" t="str">
            <v xml:space="preserve">● DANANG HOTEL – COCONUT VILLAGE - (BASKET BOAT RIDE BY OWN) - HOI AN ANCIENT TOWN
♦ After Breakfast,  Start Our Tour By Visiting  Coconut Village. Drive To Cam Thanh Commune To Visit Bay Mau Coconut Forest. Some Activities You Can Experience: 
♦ Visit The Bay Mau Coconut Forest By Basket Boat Ride By Own.
♦ See The Daily Life Of Local People In Bay Mau Coconut Forest.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
</v>
          </cell>
        </row>
        <row r="52">
          <cell r="A52" t="str">
            <v xml:space="preserve">Danang Airport - Marble Mountain - Coconut Village - Basket Boat Ride - Hoi An Ancient Town - Lantern Boat Ride - Hotel Drop  </v>
          </cell>
          <cell r="B52" t="str">
            <v xml:space="preserve">● DANANG AIRPORT – MARBLE MOUNTAIN – COCONUT VILLAGE - BASKET BOAT RIDE - HOI AN ANCIENT TOWN – DANANG 
♦ Upon arrival at Danang Airport.                                                                                                                                                                                                                                                                                                                                                                    ♦ Start Our Tour By Visiting Marble Mountain. Climb Thuy Son (Water Mountain) By The Stone Stairs (Elevator For Two Ways) And Enjoy The Panoramic View Of The Nearby
Countryside, And Visit Huyen Khong Cave Before Entering Tam Thai And Linh Ung Pagodas Where You Will Be Rewarded By Great City Views And Amazed By The Main Cave Which Houses A Beautiful Cham Buddha Sitting Under A Natural haft Of Light. Drive To Cam Thanh Commune To Visit Bay Mau Coconut Forest. Some Activities You Can Experience: 
♦ Visit The Bay Mau Coconut Forest By Basket Boat
♦ See The Daily Life Of Local People In Bay Mau Coconut Forest.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Evening, Take A Lantern Boat Trip Along The Hoai River. During The Boat Ride, Visitors Can Release Colorful Lanterns Onto The Calm River Water. They Will Be Given A Lantern Made From Colored Paper With A Candle In The Middle To Release Onto The Water While Making A Wish.
♦ Overnight Stay In Danang.
</v>
          </cell>
        </row>
        <row r="53">
          <cell r="A53" t="str">
            <v xml:space="preserve">Danang Airport - Marble Mountain - Coconut Village - Basket Boat Ride - Hoi An Ancient Town - Hotel Drop  </v>
          </cell>
          <cell r="B53" t="str">
            <v>●  DANANG AIRPORT – MARBLE MOUNTAIN – BASKET BOAT RIDE - HOI AN ANCIENT TOWN                                                                                                                                                                                                                                                    ♦ Upon arrival at Danang Airport. Start Our Tour By Visiting Marble Mountain. Climb Thuy Son (Water Mountain) By The Stone Stairs (Elevator For Two Ways) And Enjoy The Panoramic View Of The Nearby Countryside, And Visit Huyen Khong Cave Before Entering Tam Thai And Linh Ung Pagodas Where You Will Be Rewarded By Great City Views And Amazed By The Main Cave Which Houses A Beautiful Cham Buddha Sitting Under A Natural haft Of Light. Drive To Cam Thanh Commune To Visit Bay Mau Coconut Forest. Some Activities You Can Experience: 
♦ Visit The Bay Mau Coconut Forest By Basket Boat
♦ See The Daily Life Of Local People In Bay Mau Coconut Forest.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v>
          </cell>
        </row>
        <row r="54">
          <cell r="A54" t="str">
            <v xml:space="preserve">Danang Airport - Marble Mountain - Coconut Village ( Basket Boat Ride By Own ) - Hoi An Ancient Town - Hotel Drop  </v>
          </cell>
          <cell r="B54" t="str">
            <v>●  DANANG AIRPORT – MARBLE MOUNTAIN – BASKET BOAT RIDE - HOI AN ANCIENT TOWN                                                                                                                                                                                                                                                         ♦ Upon arrival at Danang Airport.                   
Start Our Tour By Visiting Marble Mountain. Climb Thuy Son (Water Mountain) By The Stone Stairs (Elevator For Two Ways) And Enjoy The Panoramic View Of The Nearby Countryside, And Visit Huyen Khong Cave Before Entering Tam Thai And Linh Ung Pagodas Where You Will Be Rewarded By Great City Views And Amazed By The Main Cave Which Houses A Beautiful Cham Buddha Sitting Under A Natural haft Of Light. Drive To Cam Thanh Commune To Visit Bay Mau Coconut Forest. Some Activities You Can Experience: 
♦ Visit The Bay Mau Coconut Forest By Basket Boat Ride By Own.
♦ See The Daily Life Of Local People In Bay Mau Coconut Forest.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v>
          </cell>
        </row>
        <row r="55">
          <cell r="A55" t="str">
            <v xml:space="preserve">Danang Airport - Marble Mountain - Hoi An Ancient Town - Hotel Drop  </v>
          </cell>
          <cell r="B55" t="str">
            <v>● DANANG AIRPORT – MARBLE MOUNTAIN – HOI AN ANCIENT TOWN                                                                                                                                                                                                                                                                                            ♦ Upon arrival at Danang Airport. Start Our Tour By Visiting Marble Mountain. Climb Thuy Son (Water Mountain) By The Stone Stairs (Elevator For Two Ways) And Enjoy The Panoramic View Of The Nearby Countryside, And Visit Huyen Khong Cave Before Entering Tam Thai And Linh Ung Pagodas Where You Will Be Rewarded By Great City Views And Amazed By The Main Cave Which Houses A Beautiful Cham Buddha Sitting Under A Natural haft Of Light.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v>
          </cell>
        </row>
        <row r="56">
          <cell r="A56" t="str">
            <v xml:space="preserve">Danang Airport - Hoi An Ancient Town - Hotel Drop  </v>
          </cell>
          <cell r="B56" t="str">
            <v>● DANANG AIRPORT - HOI AN ANCIENT TOWN                                                                                                                                                                                                                                                                                                                                   ♦ Upon arrival at Danang Airport. Start Our Tour By Visiting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v>
          </cell>
        </row>
        <row r="57">
          <cell r="A57" t="str">
            <v xml:space="preserve">Danang Airport - Coconut Village ( Basket Boat Ride By Own ) - Hoi An Ancient Town - Hotel Drop  </v>
          </cell>
          <cell r="B57" t="str">
            <v xml:space="preserve">● DANANG AIRPORT – COCONUT VILLAGE - (BASKET BOAT RIDE BY OWN) - HOI AN ANCIENT TOWN                                                                                                                                                                                                                                    ♦ Upon arrival at Danang Airport. Start Our Tour By Visiting  Coconut Village. Drive To Cam Thanh Commune To Visit Bay Mau Coconut Forest. Some Activities You Can Experience: 
♦ Visit The Bay Mau Coconut Forest By Basket Boat Ride By Own.
♦ See The Daily Life Of Local People In Bay Mau Coconut Forest.
♦ Next Visit Hoian Ancient Town. You Take Interesting Walk Over The Tile-roofed Japanese Bridge, Visit Taciturn Chinese Assembly Halls, Enjoy The Attractiveness Of Ancient Houses Or Listen To Folk Music Of Central Vietnam At Old Club-houses. Later We Can Stop At Shrines Or Stroll Into The Market Located By Thu Bon River, Where You May Find The Same Feelings Of The Artists, Who See The Rooftops Of Hoian A Magical Old World Of Oriental Feel And Source Of Inspiration. This Is Also A Wonderful Town To Shop For Lanterns, Soft Silk, Raw Silk, Or Get Your Clothes Tailored Within A Day. 
♦ Overnight Stay In Danang.
</v>
          </cell>
        </row>
        <row r="58">
          <cell r="A58" t="str">
            <v>Danang Hotel - Cham Island Tour - Hotel Drop</v>
          </cell>
          <cell r="B58" t="str">
            <v xml:space="preserve">● DANANG - CHAM ISLAND TOUR                                                                                                                                                                                                                                                                                                                                                                 ♦ After Breakfast, Start Our Tour By Visiting Cham Island. Take a day trip to the beautiful Cham Islands, a UNESCO World Biosphere Reserve. This tourist spot favorite is known for its beautiful granite islands and stunning cerulean seas.                                                                                                                                                                                                                                                                                                                                                                             ♦ Overnight Stay In Danang. </v>
          </cell>
        </row>
        <row r="59">
          <cell r="A59" t="str">
            <v>Danang Hotel - Danang Airport Drop</v>
          </cell>
          <cell r="B59" t="str">
            <v>● DANANG – DANANG AIRPORT
♦ After breakfast, you’ll have free time until our driver arrives to pick you up and transfer you to Da Nang airport For Next Flight.</v>
          </cell>
        </row>
        <row r="61">
          <cell r="A61" t="str">
            <v xml:space="preserve">Ho Chi Minh Airport - Ho Chi Minh Hotel Drop </v>
          </cell>
          <cell r="B61" t="str">
            <v xml:space="preserve">● ARRIVAL HO CHI MINH CITY, VIETNAM
♦ Today you’ll land in Ho Chi Minh City (Tan Son Nhat International Airport). Driver at airport then transfer to hotel for check in. Check in time is 14.00 – early check in not included
♦ Free time to enjoy the crowded and bustling Ho Chi Minh city – Ho Chi Minh city is the city of bars, pubs &amp; other nightlife activities…                                                                                                                                                                                          ♦ Overnight in Ho Chi Minh.
</v>
          </cell>
        </row>
        <row r="62">
          <cell r="A62" t="str">
            <v xml:space="preserve">Ho Chi Minh Airport - HCM City Tour - Ho Chi Minh Hotel Drop </v>
          </cell>
          <cell r="B62" t="str">
            <v xml:space="preserve">● HO CHI MINH AIRPORT – HCM CITY TOUR                                                                                                                                                                                                                                                                                                                                                                                                                                                                                                                                                    ♦ Upon arrival at Ho Chi Minh Airport. Welcome To Ho Chi Minh City, Formerly Known As Saigon, Is The Largest City In Vietnam, With A Population Of Around 9 Million In 2019. Situated In The Southeast Region Of Vietnam, The City Surrounds The Saigon River. 
♦ Visit To The Reunification Hall Which Includes: Formal Meeting Rooms, Private Bedrooms, War Situation Rooms 10 Meter Beneath Earth’s Level. The Guide Will Show You Important Historical Facts About This Building.                                                                             
♦ Overnight In Ho Chi Minh.
</v>
          </cell>
        </row>
        <row r="63">
          <cell r="A63" t="str">
            <v xml:space="preserve">Ho Chi Minh Airport - HCM city Tour - Hop on Hop off city tour - Hotel Drop </v>
          </cell>
          <cell r="B63" t="str">
            <v xml:space="preserve">● HO CHI MINH AIRPORT – HCM CITY TOUR - HOP ON HOP OFF CITY TOUR                                                                                                                                                                                                                                                                                 ♦ Upon arrival at Ho Chi Minh Airport. Welcome To Ho Chi Minh City, Formerly Known As Saigon, Is The Largest City In Vietnam, With A Population Of Around 9 Million In 2019. Situated In The Southeast Region Of Vietnam, The City Surrounds The Saigon River. 
♦ Visit To The Reunification Hall Which Includes: Formal Meeting Rooms, Private Bedrooms, War Situation Rooms 10 Meter Beneath Earth’s Level. The Guide Will Show You Important Historical Facts About This Building.                                                                                                                                                                                                                                                                                                                                                                                                   ♦ Hop on &amp; Hop off Tour Embark on a picturesque tour of Ho Chi Minh City aboard our convenient double-decker buses. Experience Saigon at its most vibrant during the day as you admire iconic attractions.  
♦ Overnight In Ho Chi Minh.
</v>
          </cell>
        </row>
        <row r="64">
          <cell r="A64" t="str">
            <v xml:space="preserve">Ho Chi Minh Hotel - HCM city Tour - Hop on Hop off city tour - Hotel Drop </v>
          </cell>
          <cell r="B64" t="str">
            <v>● HO CHI MINH – HCM CITY TOUR - HOP ON HOP OFF CITY TOUR                                                                                                                                                                                                                                                                                                                                                                                                                                                                                                                                                                                                                             ♦ After breakfast at hotel, our driver will pick you up and start with you on your journey to 
♦ Visit To The Reunification Hall Which Includes: Formal Meeting Rooms, Private Bedrooms, War Situation Rooms 10 Meter Beneath Earth’s Level. The Guide Will Show You Important Historical Facts About This Building.                                                                                                                                                                                                                                                                                                                                                                                               ♦ Hop on &amp; Hop off Tour Embark on a picturesque tour of Ho Chi Minh City aboard our convenient double-decker buses. Experience Saigon at its most vibrant during the day as you admire iconic attractions.  
♦ Overnight In Ho Chi Minh.</v>
          </cell>
        </row>
        <row r="65">
          <cell r="A65" t="str">
            <v>Ho Chi Minh Hotel - Cu Chi Tunnel Tour - Mekong Delta - Hotel Drop</v>
          </cell>
          <cell r="B65" t="str">
            <v>● HO CHI MINH - CU CHI TUNNEL TOUR - HCM City Tour
♦ After Breakfast At Hotel, our driver will pick you up and start with you on your journey to Cu Chi Tunnels – the network of over 200km of tunnels became legendary when they played a vital role in the War. In their heyday, the tunnels were functioning underground cities including numerous trap doors, specially constructed living areas, storage facilities, weapons factories, field hospitals, command centers &amp; kitchens. After a short introduction video showing how the tunnels were constructed, you will have a chance to crawl into a short section of the tunnels to feel the oppressive narrowness and heat inside.                                                                                                                                                                                                                                                                                                                                                                                                                       ♦ After Cu Chi Tunnel Tour Visit We visit Mekong Delta. My Tho is one of the provinces located on the Mekong Delta, around away from Saigon. It is famous for coconuts so that people call it-the hometown of coconut. There are a lots of types of fruit trees here. So this is a place to supply fruits for other provinces in the Mekong Delta .                                                                                                                                                                                                                                                      ♦ Overnight stay at Ho Chi Minh.</v>
          </cell>
        </row>
        <row r="66">
          <cell r="A66" t="str">
            <v>Ho Chi Minh Hotel - Cu Chi Tunnel Tour - HCM City Tour - Hotel Drop</v>
          </cell>
          <cell r="B66" t="str">
            <v>● HO CHI MINH - CU CHI TUNNEL TOUR - HCM City Tour
♦ After Breakfast At Hotel, our driver will pick you up and start with you on your journey to Cu Chi Tunnels – the network of over 200km of tunnels became legendary when they played a vital role in the War. In their heyday, the tunnels were functioning underground cities including numerous trap doors, specially constructed living areas, storage facilities, weapons factories, field hospitals, command centers &amp; kitchens. After a short introduction video showing how the tunnels were constructed, you will have a chance to crawl into a short section of the tunnels to feel the oppressive narrowness and heat inside.                                                                                                                                                                                                                                                                                                                                                                                                                       ♦ After Cu Chi Tunnel Tour Visit HCM City Tour. To The Reunification Hall Which Includes: Formal Meeting Rooms, Private Bedrooms, War Situation Rooms 10 Meter Beneath Earth’s Level. The Guide Will Show You Important Historical Facts About This Building.                                                                                                                                                                                                                                                                                                                                                                                 ♦ Overnight stay at Ho Chi Minh.</v>
          </cell>
        </row>
        <row r="67">
          <cell r="A67" t="str">
            <v xml:space="preserve">Ho Chi Minh Hotel - Mekong Delta - Hotel drop </v>
          </cell>
          <cell r="B67" t="str">
            <v>● HO CHI MINH - MEKONG DELTA                                                                                                                                                                                                                                                                                                                                                                                                                                                            ♦ After Breakfast at Hotel, We visit Mekong Delta. My Tho is one of the provinces located on the Mekong Delta, around away from Saigon. It is famous for coconuts so that people call it-the hometown of coconut. There are a lots of types of fruit trees here. So this is a place to supply fruits for other provinces in the Mekong Delta .                                                                                                                                                                                           ♦ Overnight stay at Ho Chi Minh.</v>
          </cell>
        </row>
        <row r="68">
          <cell r="A68" t="str">
            <v xml:space="preserve">Ho Chi Minh Airport - Mekong Delta - Ho Chi Minh Hotel drop </v>
          </cell>
          <cell r="B68" t="str">
            <v>● HO CHI MINH AIRPORT - MEKONG DELTA                                                                                                                                                                                                                                                                                                                                                                                                                                                                                       ♦ Upon arrival at Ho Chi Minh Airport. Welcome To Ho Chi Minh City, Formerly Known As Saigon, Is The Largest City In Vietnam, With A Population Of Around 9 Million In 2019. Situated In The Southeast Region Of Vietnam, The City Surrounds The Saigon River.                                                                                                                                                                                                                                                                                                                                                                                                                                                                                                                                                ♦ We visit Mekong Delta. My Tho is one of the provinces located on the Mekong Delta, around away from Saigon. It is famous for coconuts so that people call it-the hometown of coconut. There are a lots of types of fruit trees here. So this is a place to supply fruits for other provinces in the Mekong Delta .                                                                                                                                                                                           ♦ Overnight stay at Ho Chi Minh.</v>
          </cell>
        </row>
        <row r="69">
          <cell r="A69" t="str">
            <v xml:space="preserve">Ho Chi Minh Hotel - Mekong Delta - HCM Airport drop </v>
          </cell>
          <cell r="B69" t="str">
            <v xml:space="preserve">●  MEKONG DELTA - HO CHI MINH DEPARTURE                                                                                                                                                                                                                                                                                                                                                                                                                                                                                                              ♦ After Breakfast at Hotel, We visit Mekong Delta. My Tho is one of the provinces located on the Mekong Delta, around away from Saigon. It is famous for coconuts so that people call it-the hometown of coconut. There are a lots of types of fruit trees here. So this is a place to supply fruits for other provinces in the Mekong Delta.                                                                                                                                                                                                                                                                                                                                                                                 ♦ Our Private Car Will Pick You Up From The Hotel And Drop You At Ho Chi Minh International Airport
</v>
          </cell>
        </row>
        <row r="70">
          <cell r="A70" t="str">
            <v xml:space="preserve">Ho Chi Minh Airport -  Cu Chi Tunnel Tour - Ho Chi Minh Hotel drop </v>
          </cell>
          <cell r="B70" t="str">
            <v>● HO CHI MINH AIRPORT - CU CHI TUNNEL TOUR                                                                                                                                                                                                                                                                                                                                                                                                                                                                                                                  ♦ Upon arrival at Ho Chi Minh Airport. Welcome To Ho Chi Minh City, Formerly Known As Saigon, Is The Largest City In Vietnam, With A Population Of Around 9 Million In 2019. Situated In The Southeast Region Of Vietnam, The City Surrounds The Saigon River.                                                                                                                                                                                                                                                                           ♦ Our driver will pick you up and start with you on your journey to Cu Chi Tunnels – the network of over 200km of tunnels became legendary when they played a vital role in the War. In their heyday, the tunnels were functioning underground cities including numerous trap doors, specially constructed living areas, storage facilities, weapons factories, field hospitals, command centers &amp; kitchens. After a short introduction video showing how the tunnels were constructed, you will have a chance to crawl into a short section of the tunnels to feel the oppressive narrowness and heat inside.                                                                                                                                                                                                                                                             ♦ Overnight stay at Ho Chi Minh.</v>
          </cell>
        </row>
        <row r="71">
          <cell r="A71" t="str">
            <v xml:space="preserve">HCM Hotel -  Cu Chi Tunnel Tour - HCM Airport drop </v>
          </cell>
          <cell r="B71" t="str">
            <v xml:space="preserve">●  CU CHI TUNNEL TOUR - HO CHI MINH DEPARTURE                                                                                                                                                                                                                                                                                                                                                                                                    ♦ After Breakfast At Hotel, our driver will pick you up and start with you on your journey to Cu Chi Tunnels – the network of over 200km of tunnels became legendary when they played a vital role in the War. In their heyday, the tunnels were functioning underground cities including numerous trap doors, specially constructed living areas, storage facilities, weapons factories, field hospitals, command centers &amp; kitchens. After a short introduction video showing how the tunnels were constructed, you will have a chance to crawl into a short section of the tunnels to feel the oppressive narrowness and heat inside.                                                                                                                                                                                                                                                                                                                                                                                                                                                                             ♦ Our Private Car Will Pick You Up From The Hotel And Drop You At Ho Chi Minh International Airport
</v>
          </cell>
        </row>
        <row r="72">
          <cell r="A72" t="str">
            <v xml:space="preserve">HCM Hotel -  Cu Chi Tunnel Tour - Hotel drop </v>
          </cell>
          <cell r="B72" t="str">
            <v>● HO CHI MINH - CU CHI TUNNEL TOUR
♦ After Breakfast At Hotel, our driver will pick you up and start with you on your journey to Cu Chi Tunnels – the network of over 200km of tunnels became legendary when they played a vital role in the War. In their heyday, the tunnels were functioning underground cities including numerous trap doors, specially constructed living areas, storage facilities, weapons factories, field hospitals, command centers &amp; kitchens. After a short introduction video showing how the tunnels were constructed, you will have a chance to crawl into a short section of the tunnels to feel the oppressive narrowness and heat inside.                                                                                                                                                            ♦ Overnight stay in Ho Chi Minh.</v>
          </cell>
        </row>
        <row r="73">
          <cell r="A73" t="str">
            <v>Ho Chi Minh Hotel - Ho Chi Minh Airport</v>
          </cell>
          <cell r="B73" t="str">
            <v xml:space="preserve">● HO CHI MINH DEPARTURE                                                                                                                                                                                                                                                                                                                                                                                                  ♦ Breakfast In Hotel
Free Time In Ho Chi Minh
Souvenir Shopping, Market Exploring
♦ Our Private Car Will Pick You Up From The Hotel And Drop You At Ho Chi Minh International Airport
</v>
          </cell>
        </row>
        <row r="75">
          <cell r="A75" t="str">
            <v xml:space="preserve">Phu Quoc Airport - Phu Quoc Hotel Drop  </v>
          </cell>
          <cell r="B75" t="str">
            <v xml:space="preserve">● ARRIVAL PHU QUOC, VIETNAM                                                                                                                                                                                                                                                                                                                                                           ♦ Phú Quốc is a Vietnamese island off the coast of Cambodia in the Gulf of Thailand. It's known for white-sand beaches and resorts, most of which are along the palm-lined southwest coast.                                                                                                                                                                                                                  ♦ Upon arrival Phu Quoc Airport. Our Private Car Will Pick You Up From The Airport And Head Towards The Hotel.
♦ Check Into The Hotel, Take Necessary Rest After Flight.                                                                                                                                                                                                                                                                                                                          ♦ Overnight at Phu Quoc.
</v>
          </cell>
        </row>
        <row r="76">
          <cell r="A76" t="str">
            <v xml:space="preserve">Phu Quoc Hotel - Vin Pearl Safari &amp; Vin Pearls - Wonder Land - Hotel Drop </v>
          </cell>
          <cell r="B76" t="str">
            <v>● SAFARI &amp; VIN PEARLS - WONDER LAND                                                                                                                                                                                                                                                                                                                                                              ♦ After Breakfast At Hotel, Visiting and exploring Vinpearl Safari Phu Quoc is the first and only open zoo in Vietnam that was built according to the international safari model. Vinpearl safari animal care and conservation park has 380 hectares of space, 150 animal species, 3,000 individual animals that call the park home, and at least 1,200 botanical species. The park is also divided into two main areas: a wildlife park and an open zoo. Vinwonders Phu Quoc - Vietnam's Biggest Theme Park, One of The Best in Asia. VinWonders Phu Quoc offers tourists an experience of their lifetime with a world-class system of activities. Captivating stories, unparalleled adventures and thrilling games are all the highlights of this place. VinWonders Phu Quoc is listed among the largest theme parks in Vietnam. Coming there, tourists of all ages and personalities can find their ideal destinations to explore.                                                                                                                                                                                                                                                                                                                                                       ♦ Overnight at Phu Quoc.</v>
          </cell>
        </row>
        <row r="77">
          <cell r="A77" t="str">
            <v xml:space="preserve">Phu Quoc Hotel - Full Day - 3 Island tour in south by speedboat - Hotel drop </v>
          </cell>
          <cell r="B77" t="str">
            <v xml:space="preserve">● FULL DAY 3 ISLAND TOUR - BY SPEEDBOAT                                                                                                                                                                                                                                                                                                                                                     ♦ After Breakfast At Hotel, We Will Start Our Day By Visiting 3 Island Tour. Get on By Boat and Visit 3 Islands: Mong Tay, Gam Ghi, May Rut _ Check in, take photos, dive to see the coral reefs.                                                                                                                                                                                                                                                             ♦ Overnight at Phu Quoc. </v>
          </cell>
        </row>
        <row r="78">
          <cell r="A78" t="str">
            <v xml:space="preserve">Phu Quoc Hotel - Full Day - 3 Island tour in south by speedboat - One Way Cable Car - Hotel drop </v>
          </cell>
          <cell r="B78" t="str">
            <v xml:space="preserve">● FULL DAY 3 ISLAND TOUR - BY SPEEDBOAT - ONE WAY CABLE CAR                                                                                                                                                                                                                                                                                                                              ♦ After Breakfast At Hotel, We Will Start Our Day By Visiting 3 Island Tour. Get on By Boat and Visit 3 Islands: Mong Tay, Gam Ghi, May Rut _ Check in, take photos, dive to see the coral reefs.
♦ Go to Thom Island: imprints in the hearts of domestic and international tourists with impressive figures: Guinness world records with the title of “The world’s longest 3-wire sea cable car with a length of 7899.9m”, built with modern and advanced technology from the world’s leading manufacturers. But perhaps, the most attractive thing for tourists is the unique experience when watching from the ideal height on the cable car to admire the natural masterpiece given to the Southern Phu Quoc island.                                                                                                                                                                                                                                                                                                       ♦ Overnight at Phu Quoc. </v>
          </cell>
        </row>
        <row r="79">
          <cell r="A79" t="str">
            <v xml:space="preserve">Phu Quoc Hotel - Full Day - 4 Island tour in south by speedboat - One Way Cable Car - Hotel drop </v>
          </cell>
          <cell r="B79" t="str">
            <v xml:space="preserve">● FULL DAY 4 ISLAND TOUR - BY SPEEDBOAT - ONE WAY CABLE CAR                                                                                                                                                                                                                                                                                                            ♦ After Breakfast At Hotel, We Will Start Our Day By Visiting 4 Island Tour. Get on By Boat and Visit 4 Islands: Mong Tay, Gam Ghi, Roi, May Rut _ Check in, take photos, dive to see the coral reefs.
Go to Thom Island: imprints in the hearts of domestic and international tourists with impressive figures: Guinness world records with the title of “The world’s longest 3-wire sea cable car with a length of 7899.9m”, built with modern and advanced technology from the world’s leading manufacturers. But perhaps, the most attractive thing for tourists is the unique experience when watching from the ideal height on the cable car to admire the natural masterpiece given to the Southern Phu Quoc island.                                                                                                                                                                                                                                                                                                 ♦ Overnight at Phu Quoc.  </v>
          </cell>
        </row>
        <row r="80">
          <cell r="A80" t="str">
            <v xml:space="preserve">Phu Quoc Hotel - Full Day - 4 Island tour in south by speedboat - Hotel drop </v>
          </cell>
          <cell r="B80" t="str">
            <v xml:space="preserve">● FULL DAY 4 ISLAND TOUR - BY SPEEDBOAT                                                                                                                                                                                                                                                                                                                                                                                        ♦ After Breakfast At Hotel, We Will Start Our Day By Visiting 4 Island Tour. Get on By Boat and Visit 4 Islands: Mong Tay, Gam Ghi, Roi, May Rut _ Check in, take photos, dive to see the coral reefs.                                                                                                                                                                                                                        ♦ Overnight at Phu Quoc.  </v>
          </cell>
        </row>
        <row r="81">
          <cell r="A81" t="str">
            <v>Phu Quoc Hotel - Phu Quoc Airport Drop</v>
          </cell>
          <cell r="B81" t="str">
            <v>● PHU QUOC DEPARTURE                                                                                                                                                                                                                                                                                                                                                                              ♦ Breakfast In Hotel 
♦ Our Private Car Will Pick You Up From The Hotel And Drop You At Phu Quoc Airport.</v>
          </cell>
        </row>
      </sheetData>
      <sheetData sheetId="6"/>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agoda.com/en-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1"/>
  <sheetViews>
    <sheetView tabSelected="1" topLeftCell="A4" zoomScale="95" zoomScaleNormal="95" workbookViewId="0">
      <selection activeCell="L13" sqref="L13"/>
    </sheetView>
  </sheetViews>
  <sheetFormatPr defaultColWidth="14.33203125" defaultRowHeight="15" customHeight="1" x14ac:dyDescent="0.2"/>
  <cols>
    <col min="1" max="1" width="32.6640625" customWidth="1"/>
    <col min="2" max="2" width="23.6640625" customWidth="1"/>
    <col min="3" max="3" width="32.83203125" customWidth="1"/>
    <col min="4" max="4" width="24.6640625" customWidth="1"/>
    <col min="5" max="5" width="56.6640625" customWidth="1"/>
    <col min="6" max="6" width="17.6640625" customWidth="1"/>
    <col min="7" max="8" width="15.1640625" customWidth="1"/>
    <col min="9" max="9" width="13.33203125" customWidth="1"/>
    <col min="10" max="10" width="13.6640625" customWidth="1"/>
    <col min="11" max="11" width="24.1640625" customWidth="1"/>
    <col min="12" max="12" width="22.6640625" customWidth="1"/>
    <col min="13" max="14" width="16.83203125" customWidth="1"/>
    <col min="15" max="15" width="137.6640625" customWidth="1"/>
    <col min="16" max="16" width="39.83203125" customWidth="1"/>
    <col min="17" max="17" width="42.33203125" customWidth="1"/>
    <col min="18" max="26" width="8.83203125" customWidth="1"/>
  </cols>
  <sheetData>
    <row r="1" spans="1:26" ht="13.5"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05" customHeight="1" x14ac:dyDescent="0.2">
      <c r="A2" s="182" t="s">
        <v>0</v>
      </c>
      <c r="B2" s="183"/>
      <c r="C2" s="183"/>
      <c r="D2" s="183"/>
      <c r="E2" s="183"/>
      <c r="F2" s="184"/>
      <c r="G2" s="1"/>
      <c r="H2" s="1"/>
      <c r="I2" s="1"/>
      <c r="J2" s="1"/>
      <c r="K2" s="1"/>
      <c r="L2" s="1"/>
      <c r="M2" s="1"/>
      <c r="N2" s="1"/>
      <c r="O2" s="1"/>
      <c r="P2" s="1"/>
      <c r="Q2" s="1"/>
      <c r="R2" s="1"/>
      <c r="S2" s="1"/>
      <c r="T2" s="1"/>
      <c r="U2" s="1"/>
      <c r="V2" s="1"/>
      <c r="W2" s="1"/>
      <c r="X2" s="1"/>
      <c r="Y2" s="1"/>
      <c r="Z2" s="1"/>
    </row>
    <row r="3" spans="1:26" ht="36.75" customHeight="1" x14ac:dyDescent="0.2">
      <c r="A3" s="2" t="s">
        <v>684</v>
      </c>
      <c r="B3" s="177" t="s">
        <v>683</v>
      </c>
      <c r="C3" s="162"/>
      <c r="D3" s="160"/>
      <c r="E3" s="185" t="s">
        <v>672</v>
      </c>
      <c r="F3" s="174"/>
      <c r="G3" s="3"/>
      <c r="H3" s="3"/>
      <c r="I3" s="1"/>
      <c r="J3" s="1"/>
      <c r="K3" s="1"/>
      <c r="L3" s="1"/>
      <c r="M3" s="1"/>
      <c r="N3" s="1"/>
      <c r="O3" s="1"/>
      <c r="P3" s="1"/>
      <c r="Q3" s="1"/>
      <c r="R3" s="1"/>
      <c r="S3" s="1"/>
      <c r="T3" s="1"/>
      <c r="U3" s="1"/>
      <c r="V3" s="1"/>
      <c r="W3" s="1"/>
      <c r="X3" s="1"/>
      <c r="Y3" s="1"/>
      <c r="Z3" s="1"/>
    </row>
    <row r="4" spans="1:26" ht="36.75" customHeight="1" x14ac:dyDescent="0.2">
      <c r="A4" s="4" t="s">
        <v>675</v>
      </c>
      <c r="B4" s="177" t="s">
        <v>1</v>
      </c>
      <c r="C4" s="162"/>
      <c r="D4" s="160"/>
      <c r="E4" s="5" t="s">
        <v>673</v>
      </c>
      <c r="F4" s="6">
        <v>3</v>
      </c>
      <c r="G4" s="3"/>
      <c r="H4" s="3"/>
      <c r="I4" s="1"/>
      <c r="J4" s="1"/>
      <c r="K4" s="1"/>
      <c r="L4" s="1"/>
      <c r="M4" s="1"/>
      <c r="N4" s="1"/>
      <c r="O4" s="1"/>
      <c r="P4" s="1"/>
      <c r="Q4" s="1"/>
      <c r="R4" s="1"/>
      <c r="S4" s="1"/>
      <c r="T4" s="1"/>
      <c r="U4" s="1"/>
      <c r="V4" s="1"/>
      <c r="W4" s="1"/>
      <c r="X4" s="1"/>
      <c r="Y4" s="1"/>
      <c r="Z4" s="1"/>
    </row>
    <row r="5" spans="1:26" ht="36.75" customHeight="1" x14ac:dyDescent="0.2">
      <c r="A5" s="155" t="s">
        <v>682</v>
      </c>
      <c r="B5" s="186" t="s">
        <v>2</v>
      </c>
      <c r="C5" s="162"/>
      <c r="D5" s="160"/>
      <c r="E5" s="186" t="s">
        <v>674</v>
      </c>
      <c r="F5" s="164"/>
      <c r="G5" s="7"/>
      <c r="H5" s="7"/>
      <c r="I5" s="8"/>
      <c r="J5" s="8"/>
      <c r="K5" s="8"/>
      <c r="L5" s="8"/>
      <c r="M5" s="8"/>
      <c r="N5" s="8"/>
      <c r="O5" s="1"/>
      <c r="P5" s="1"/>
      <c r="Q5" s="1"/>
      <c r="R5" s="1"/>
      <c r="S5" s="1"/>
      <c r="T5" s="1"/>
      <c r="U5" s="1"/>
      <c r="V5" s="1"/>
      <c r="W5" s="1"/>
      <c r="X5" s="1"/>
      <c r="Y5" s="1"/>
      <c r="Z5" s="1"/>
    </row>
    <row r="6" spans="1:26" ht="30" customHeight="1" x14ac:dyDescent="0.2">
      <c r="A6" s="9" t="s">
        <v>3</v>
      </c>
      <c r="B6" s="178" t="s">
        <v>4</v>
      </c>
      <c r="C6" s="162"/>
      <c r="D6" s="160"/>
      <c r="E6" s="171" t="s">
        <v>5</v>
      </c>
      <c r="F6" s="164"/>
      <c r="G6" s="1"/>
      <c r="H6" s="1"/>
      <c r="I6" s="1"/>
      <c r="J6" s="1"/>
      <c r="K6" s="1"/>
      <c r="L6" s="1"/>
      <c r="M6" s="1"/>
      <c r="N6" s="1"/>
      <c r="O6" s="1"/>
      <c r="P6" s="1"/>
      <c r="Q6" s="1"/>
      <c r="R6" s="1"/>
      <c r="S6" s="1"/>
      <c r="T6" s="1"/>
      <c r="U6" s="1"/>
      <c r="V6" s="1"/>
      <c r="W6" s="1"/>
      <c r="X6" s="1"/>
      <c r="Y6" s="1"/>
      <c r="Z6" s="1"/>
    </row>
    <row r="7" spans="1:26" ht="30" customHeight="1" x14ac:dyDescent="0.2">
      <c r="A7" s="10" t="s">
        <v>477</v>
      </c>
      <c r="B7" s="187" t="s">
        <v>211</v>
      </c>
      <c r="C7" s="162"/>
      <c r="D7" s="160"/>
      <c r="E7" s="150" t="s">
        <v>676</v>
      </c>
      <c r="F7" s="12">
        <v>1</v>
      </c>
      <c r="G7" s="13">
        <f>VLOOKUP(B7,[1]Sheet4!F:G,2,FALSE)</f>
        <v>73.333333333333343</v>
      </c>
      <c r="H7" s="13">
        <f t="shared" ref="H7:H12" si="0">G7*F7</f>
        <v>73.333333333333343</v>
      </c>
      <c r="I7" s="13">
        <f t="shared" ref="I7:I12" si="1">H7/2</f>
        <v>36.666666666666671</v>
      </c>
      <c r="J7" s="1"/>
      <c r="K7" s="1"/>
      <c r="L7" s="1"/>
      <c r="M7" s="1"/>
      <c r="N7" s="1"/>
      <c r="O7" s="1"/>
      <c r="P7" s="1"/>
      <c r="Q7" s="1"/>
      <c r="R7" s="1"/>
      <c r="S7" s="1"/>
      <c r="T7" s="1"/>
      <c r="U7" s="1"/>
      <c r="V7" s="1"/>
      <c r="W7" s="1"/>
      <c r="X7" s="1"/>
      <c r="Y7" s="1"/>
      <c r="Z7" s="1"/>
    </row>
    <row r="8" spans="1:26" ht="30" customHeight="1" x14ac:dyDescent="0.2">
      <c r="A8" s="151" t="s">
        <v>174</v>
      </c>
      <c r="B8" s="187" t="s">
        <v>211</v>
      </c>
      <c r="C8" s="162"/>
      <c r="D8" s="160"/>
      <c r="E8" s="150" t="s">
        <v>677</v>
      </c>
      <c r="F8" s="12">
        <v>3</v>
      </c>
      <c r="G8" s="13">
        <f>VLOOKUP(B8,[1]Sheet4!F:G,2,FALSE)</f>
        <v>73.333333333333343</v>
      </c>
      <c r="H8" s="13">
        <f t="shared" si="0"/>
        <v>220.00000000000003</v>
      </c>
      <c r="I8" s="13">
        <f t="shared" si="1"/>
        <v>110.00000000000001</v>
      </c>
      <c r="J8" s="1"/>
      <c r="K8" s="1"/>
      <c r="L8" s="1"/>
      <c r="M8" s="1"/>
      <c r="N8" s="1"/>
      <c r="O8" s="1"/>
      <c r="P8" s="1"/>
      <c r="Q8" s="1"/>
      <c r="R8" s="1"/>
      <c r="S8" s="1"/>
      <c r="T8" s="1"/>
      <c r="U8" s="1"/>
      <c r="V8" s="1"/>
      <c r="W8" s="1"/>
      <c r="X8" s="1"/>
      <c r="Y8" s="1"/>
      <c r="Z8" s="1"/>
    </row>
    <row r="9" spans="1:26" ht="30" customHeight="1" x14ac:dyDescent="0.2">
      <c r="A9" s="152"/>
      <c r="B9" s="201"/>
      <c r="C9" s="202"/>
      <c r="D9" s="203"/>
      <c r="E9" s="150" t="s">
        <v>680</v>
      </c>
      <c r="F9" s="153">
        <v>1</v>
      </c>
      <c r="G9" s="13">
        <f>VLOOKUP(B9,[1]Sheet4!F:G,2,FALSE)</f>
        <v>0</v>
      </c>
      <c r="H9" s="13">
        <f t="shared" si="0"/>
        <v>0</v>
      </c>
      <c r="I9" s="13">
        <f t="shared" si="1"/>
        <v>0</v>
      </c>
      <c r="J9" s="154"/>
      <c r="K9" s="154"/>
      <c r="L9" s="154"/>
      <c r="M9" s="154"/>
      <c r="N9" s="154"/>
      <c r="O9" s="154"/>
      <c r="P9" s="154"/>
      <c r="Q9" s="154"/>
      <c r="R9" s="154"/>
      <c r="S9" s="154"/>
      <c r="T9" s="154"/>
      <c r="U9" s="154"/>
      <c r="V9" s="154"/>
      <c r="W9" s="154"/>
      <c r="X9" s="154"/>
      <c r="Y9" s="154"/>
      <c r="Z9" s="154"/>
    </row>
    <row r="10" spans="1:26" ht="30" customHeight="1" x14ac:dyDescent="0.2">
      <c r="A10" s="14"/>
      <c r="B10" s="187"/>
      <c r="C10" s="162"/>
      <c r="D10" s="160"/>
      <c r="E10" s="150" t="s">
        <v>679</v>
      </c>
      <c r="F10" s="12">
        <v>3</v>
      </c>
      <c r="G10" s="13">
        <f>VLOOKUP(B10,[1]Sheet4!F:G,2,FALSE)</f>
        <v>0</v>
      </c>
      <c r="H10" s="13">
        <f t="shared" si="0"/>
        <v>0</v>
      </c>
      <c r="I10" s="13">
        <f t="shared" si="1"/>
        <v>0</v>
      </c>
      <c r="J10" s="1"/>
      <c r="K10" s="1"/>
      <c r="L10" s="1">
        <v>24947</v>
      </c>
      <c r="M10" s="1"/>
      <c r="N10" s="1"/>
      <c r="O10" s="1"/>
      <c r="P10" s="1"/>
      <c r="Q10" s="1"/>
      <c r="R10" s="1"/>
      <c r="S10" s="1"/>
      <c r="T10" s="1"/>
      <c r="U10" s="1"/>
      <c r="V10" s="1"/>
      <c r="W10" s="1"/>
      <c r="X10" s="1"/>
      <c r="Y10" s="1"/>
      <c r="Z10" s="1"/>
    </row>
    <row r="11" spans="1:26" ht="30" customHeight="1" x14ac:dyDescent="0.2">
      <c r="A11" s="2"/>
      <c r="B11" s="187"/>
      <c r="C11" s="162"/>
      <c r="D11" s="160"/>
      <c r="E11" s="150" t="s">
        <v>678</v>
      </c>
      <c r="F11" s="12">
        <v>3</v>
      </c>
      <c r="G11" s="13">
        <f>VLOOKUP(B11,[1]Sheet4!F:G,2,FALSE)</f>
        <v>0</v>
      </c>
      <c r="H11" s="13">
        <f t="shared" si="0"/>
        <v>0</v>
      </c>
      <c r="I11" s="13">
        <f t="shared" si="1"/>
        <v>0</v>
      </c>
      <c r="J11" s="1"/>
      <c r="K11" s="1"/>
      <c r="L11" s="1">
        <v>23046</v>
      </c>
      <c r="M11" s="1"/>
      <c r="N11" s="1"/>
      <c r="O11" s="1"/>
      <c r="P11" s="1"/>
      <c r="Q11" s="1"/>
      <c r="R11" s="1"/>
      <c r="S11" s="1"/>
      <c r="T11" s="1"/>
      <c r="U11" s="1"/>
      <c r="V11" s="1"/>
      <c r="W11" s="1"/>
      <c r="X11" s="1"/>
      <c r="Y11" s="1"/>
      <c r="Z11" s="1"/>
    </row>
    <row r="12" spans="1:26" ht="30" customHeight="1" x14ac:dyDescent="0.2">
      <c r="A12" s="2"/>
      <c r="B12" s="187"/>
      <c r="C12" s="162"/>
      <c r="D12" s="160"/>
      <c r="E12" s="150" t="s">
        <v>681</v>
      </c>
      <c r="F12" s="12">
        <v>1</v>
      </c>
      <c r="G12" s="13">
        <f>VLOOKUP(B12,[1]Sheet4!F:G,2,FALSE)</f>
        <v>0</v>
      </c>
      <c r="H12" s="13">
        <f t="shared" si="0"/>
        <v>0</v>
      </c>
      <c r="I12" s="13">
        <f t="shared" si="1"/>
        <v>0</v>
      </c>
      <c r="J12" s="1"/>
      <c r="K12" s="1"/>
      <c r="L12" s="1"/>
      <c r="M12" s="1"/>
      <c r="N12" s="1"/>
      <c r="O12" s="1"/>
      <c r="P12" s="1"/>
      <c r="Q12" s="1"/>
      <c r="R12" s="1"/>
      <c r="S12" s="1"/>
      <c r="T12" s="1"/>
      <c r="U12" s="1"/>
      <c r="V12" s="1"/>
      <c r="W12" s="1"/>
      <c r="X12" s="1"/>
      <c r="Y12" s="1"/>
      <c r="Z12" s="1"/>
    </row>
    <row r="13" spans="1:26" ht="30" customHeight="1" x14ac:dyDescent="0.2">
      <c r="A13" s="9" t="s">
        <v>3</v>
      </c>
      <c r="B13" s="178" t="s">
        <v>10</v>
      </c>
      <c r="C13" s="162"/>
      <c r="D13" s="160"/>
      <c r="E13" s="171" t="s">
        <v>5</v>
      </c>
      <c r="F13" s="164"/>
      <c r="G13" s="13"/>
      <c r="H13" s="13"/>
      <c r="I13" s="13"/>
      <c r="J13" s="15">
        <f>SUM(I8,I10,I11,I12,I7,I9)</f>
        <v>146.66666666666669</v>
      </c>
      <c r="K13" s="1"/>
      <c r="L13" s="1"/>
      <c r="M13" s="1"/>
      <c r="N13" s="1"/>
      <c r="O13" s="1"/>
      <c r="P13" s="1"/>
      <c r="Q13" s="1"/>
      <c r="R13" s="1"/>
      <c r="S13" s="1"/>
      <c r="T13" s="1"/>
      <c r="U13" s="1"/>
      <c r="V13" s="1"/>
      <c r="W13" s="1"/>
      <c r="X13" s="1"/>
      <c r="Y13" s="1"/>
      <c r="Z13" s="1"/>
    </row>
    <row r="14" spans="1:26" ht="30" customHeight="1" x14ac:dyDescent="0.2">
      <c r="A14" s="2"/>
      <c r="B14" s="177"/>
      <c r="C14" s="162"/>
      <c r="D14" s="160"/>
      <c r="E14" s="11" t="s">
        <v>668</v>
      </c>
      <c r="F14" s="12"/>
      <c r="G14" s="13">
        <v>0</v>
      </c>
      <c r="H14" s="13">
        <f t="shared" ref="H14:H18" si="2">G14*F14</f>
        <v>0</v>
      </c>
      <c r="I14" s="13">
        <f t="shared" ref="I14:I23" si="3">H14/2</f>
        <v>0</v>
      </c>
      <c r="J14" s="13"/>
      <c r="K14" s="1"/>
      <c r="L14" s="1"/>
      <c r="M14" s="1"/>
      <c r="N14" s="1"/>
      <c r="O14" s="1"/>
      <c r="P14" s="1"/>
      <c r="Q14" s="1"/>
      <c r="R14" s="1"/>
      <c r="S14" s="1"/>
      <c r="T14" s="1"/>
      <c r="U14" s="1"/>
      <c r="V14" s="1"/>
      <c r="W14" s="1"/>
      <c r="X14" s="1"/>
      <c r="Y14" s="1"/>
      <c r="Z14" s="1"/>
    </row>
    <row r="15" spans="1:26" ht="30" customHeight="1" x14ac:dyDescent="0.2">
      <c r="A15" s="2"/>
      <c r="B15" s="177"/>
      <c r="C15" s="162"/>
      <c r="D15" s="160"/>
      <c r="E15" s="11" t="s">
        <v>669</v>
      </c>
      <c r="F15" s="12"/>
      <c r="G15" s="13">
        <v>0</v>
      </c>
      <c r="H15" s="13">
        <f t="shared" si="2"/>
        <v>0</v>
      </c>
      <c r="I15" s="13">
        <f t="shared" si="3"/>
        <v>0</v>
      </c>
      <c r="J15" s="13"/>
      <c r="K15" s="1"/>
      <c r="L15" s="1"/>
      <c r="M15" s="1"/>
      <c r="N15" s="1"/>
      <c r="O15" s="1"/>
      <c r="P15" s="1"/>
      <c r="Q15" s="1"/>
      <c r="R15" s="1"/>
      <c r="S15" s="1"/>
      <c r="T15" s="1"/>
      <c r="U15" s="1"/>
      <c r="V15" s="1"/>
      <c r="W15" s="1"/>
      <c r="X15" s="1"/>
      <c r="Y15" s="1"/>
      <c r="Z15" s="1"/>
    </row>
    <row r="16" spans="1:26" ht="30" customHeight="1" x14ac:dyDescent="0.2">
      <c r="A16" s="2"/>
      <c r="B16" s="177"/>
      <c r="C16" s="162"/>
      <c r="D16" s="160"/>
      <c r="E16" s="11" t="s">
        <v>670</v>
      </c>
      <c r="F16" s="12"/>
      <c r="G16" s="13">
        <v>0</v>
      </c>
      <c r="H16" s="13">
        <f t="shared" si="2"/>
        <v>0</v>
      </c>
      <c r="I16" s="13">
        <f t="shared" si="3"/>
        <v>0</v>
      </c>
      <c r="J16" s="13"/>
      <c r="K16" s="1"/>
      <c r="L16" s="1"/>
      <c r="M16" s="1"/>
      <c r="N16" s="1"/>
      <c r="O16" s="1"/>
      <c r="P16" s="1"/>
      <c r="Q16" s="1"/>
      <c r="R16" s="1"/>
      <c r="S16" s="1"/>
      <c r="T16" s="1"/>
      <c r="U16" s="1"/>
      <c r="V16" s="1"/>
      <c r="W16" s="1"/>
      <c r="X16" s="1"/>
      <c r="Y16" s="1"/>
      <c r="Z16" s="1"/>
    </row>
    <row r="17" spans="1:26" ht="30" customHeight="1" x14ac:dyDescent="0.2">
      <c r="A17" s="2"/>
      <c r="B17" s="177"/>
      <c r="C17" s="162"/>
      <c r="D17" s="160"/>
      <c r="E17" s="150" t="s">
        <v>671</v>
      </c>
      <c r="F17" s="12"/>
      <c r="G17" s="13">
        <v>0</v>
      </c>
      <c r="H17" s="13">
        <f t="shared" si="2"/>
        <v>0</v>
      </c>
      <c r="I17" s="13">
        <f t="shared" si="3"/>
        <v>0</v>
      </c>
      <c r="J17" s="13"/>
      <c r="K17" s="1"/>
      <c r="L17" s="1"/>
      <c r="M17" s="1"/>
      <c r="N17" s="1"/>
      <c r="O17" s="1"/>
      <c r="P17" s="1"/>
      <c r="Q17" s="1"/>
      <c r="R17" s="1"/>
      <c r="S17" s="1"/>
      <c r="T17" s="1"/>
      <c r="U17" s="1"/>
      <c r="V17" s="1"/>
      <c r="W17" s="1"/>
      <c r="X17" s="1"/>
      <c r="Y17" s="1"/>
      <c r="Z17" s="1"/>
    </row>
    <row r="18" spans="1:26" ht="30" customHeight="1" x14ac:dyDescent="0.2">
      <c r="A18" s="2"/>
      <c r="B18" s="177"/>
      <c r="C18" s="162"/>
      <c r="D18" s="160"/>
      <c r="E18" s="11"/>
      <c r="F18" s="12"/>
      <c r="G18" s="13">
        <v>0</v>
      </c>
      <c r="H18" s="13">
        <f t="shared" si="2"/>
        <v>0</v>
      </c>
      <c r="I18" s="13">
        <f t="shared" si="3"/>
        <v>0</v>
      </c>
      <c r="J18" s="15">
        <f>SUM(I14,I15,I16,I17,I18)</f>
        <v>0</v>
      </c>
      <c r="K18" s="1"/>
      <c r="L18" s="1"/>
      <c r="M18" s="1"/>
      <c r="N18" s="1"/>
      <c r="O18" s="1"/>
      <c r="P18" s="1"/>
      <c r="Q18" s="1"/>
      <c r="R18" s="1"/>
      <c r="S18" s="1"/>
      <c r="T18" s="1"/>
      <c r="U18" s="1"/>
      <c r="V18" s="1"/>
      <c r="W18" s="1"/>
      <c r="X18" s="1"/>
      <c r="Y18" s="1"/>
      <c r="Z18" s="1"/>
    </row>
    <row r="19" spans="1:26" ht="30" customHeight="1" x14ac:dyDescent="0.2">
      <c r="A19" s="9" t="s">
        <v>3</v>
      </c>
      <c r="B19" s="178" t="s">
        <v>12</v>
      </c>
      <c r="C19" s="162"/>
      <c r="D19" s="160"/>
      <c r="E19" s="171" t="s">
        <v>5</v>
      </c>
      <c r="F19" s="164"/>
      <c r="G19" s="13"/>
      <c r="H19" s="13"/>
      <c r="I19" s="13">
        <f t="shared" si="3"/>
        <v>0</v>
      </c>
      <c r="J19" s="13"/>
      <c r="K19" s="1"/>
      <c r="L19" s="1"/>
      <c r="M19" s="1"/>
      <c r="N19" s="1"/>
      <c r="O19" s="1"/>
      <c r="P19" s="1"/>
      <c r="Q19" s="1"/>
      <c r="R19" s="1"/>
      <c r="S19" s="1"/>
      <c r="T19" s="1"/>
      <c r="U19" s="1"/>
      <c r="V19" s="1"/>
      <c r="W19" s="1"/>
      <c r="X19" s="1"/>
      <c r="Y19" s="1"/>
      <c r="Z19" s="1"/>
    </row>
    <row r="20" spans="1:26" ht="30" customHeight="1" x14ac:dyDescent="0.2">
      <c r="A20" s="10"/>
      <c r="B20" s="177" t="s">
        <v>11</v>
      </c>
      <c r="C20" s="162"/>
      <c r="D20" s="160"/>
      <c r="E20" s="11" t="s">
        <v>6</v>
      </c>
      <c r="F20" s="12">
        <v>2</v>
      </c>
      <c r="G20" s="13">
        <f>VLOOKUP(B20,[1]Sheet4!M:N,2,FALSE)</f>
        <v>0</v>
      </c>
      <c r="H20" s="13">
        <f t="shared" ref="H20:H23" si="4">G20*F20</f>
        <v>0</v>
      </c>
      <c r="I20" s="13">
        <f t="shared" si="3"/>
        <v>0</v>
      </c>
      <c r="J20" s="13"/>
      <c r="K20" s="1"/>
      <c r="L20" s="1"/>
      <c r="M20" s="1"/>
      <c r="N20" s="1"/>
      <c r="O20" s="1"/>
      <c r="P20" s="1"/>
      <c r="Q20" s="1"/>
      <c r="R20" s="1"/>
      <c r="S20" s="1"/>
      <c r="T20" s="1"/>
      <c r="U20" s="1"/>
      <c r="V20" s="1"/>
      <c r="W20" s="1"/>
      <c r="X20" s="1"/>
      <c r="Y20" s="1"/>
      <c r="Z20" s="1"/>
    </row>
    <row r="21" spans="1:26" ht="30" customHeight="1" x14ac:dyDescent="0.2">
      <c r="A21" s="14"/>
      <c r="B21" s="177" t="s">
        <v>11</v>
      </c>
      <c r="C21" s="162"/>
      <c r="D21" s="160"/>
      <c r="E21" s="11" t="s">
        <v>7</v>
      </c>
      <c r="F21" s="12">
        <v>2</v>
      </c>
      <c r="G21" s="13">
        <f>VLOOKUP(B21,[1]Sheet4!M:N,2,FALSE)</f>
        <v>0</v>
      </c>
      <c r="H21" s="13">
        <f t="shared" si="4"/>
        <v>0</v>
      </c>
      <c r="I21" s="13">
        <f t="shared" si="3"/>
        <v>0</v>
      </c>
      <c r="J21" s="13"/>
      <c r="K21" s="1"/>
      <c r="L21" s="1"/>
      <c r="M21" s="1"/>
      <c r="N21" s="1"/>
      <c r="O21" s="1"/>
      <c r="P21" s="1"/>
      <c r="Q21" s="1"/>
      <c r="R21" s="1"/>
      <c r="S21" s="1"/>
      <c r="T21" s="1"/>
      <c r="U21" s="1"/>
      <c r="V21" s="1"/>
      <c r="W21" s="1"/>
      <c r="X21" s="1"/>
      <c r="Y21" s="1"/>
      <c r="Z21" s="1"/>
    </row>
    <row r="22" spans="1:26" ht="30" customHeight="1" x14ac:dyDescent="0.2">
      <c r="A22" s="14"/>
      <c r="B22" s="177" t="s">
        <v>11</v>
      </c>
      <c r="C22" s="162"/>
      <c r="D22" s="160"/>
      <c r="E22" s="11" t="s">
        <v>8</v>
      </c>
      <c r="F22" s="12">
        <v>1</v>
      </c>
      <c r="G22" s="13">
        <f>VLOOKUP(B22,[1]Sheet4!M:N,2,FALSE)</f>
        <v>0</v>
      </c>
      <c r="H22" s="13">
        <f t="shared" si="4"/>
        <v>0</v>
      </c>
      <c r="I22" s="13">
        <f t="shared" si="3"/>
        <v>0</v>
      </c>
      <c r="J22" s="13"/>
      <c r="K22" s="1"/>
      <c r="L22" s="1"/>
      <c r="M22" s="1"/>
      <c r="N22" s="1"/>
      <c r="O22" s="1"/>
      <c r="P22" s="1"/>
      <c r="Q22" s="1"/>
      <c r="R22" s="1"/>
      <c r="S22" s="1"/>
      <c r="T22" s="1"/>
      <c r="U22" s="1"/>
      <c r="V22" s="1"/>
      <c r="W22" s="1"/>
      <c r="X22" s="1"/>
      <c r="Y22" s="1"/>
      <c r="Z22" s="1"/>
    </row>
    <row r="23" spans="1:26" ht="30" customHeight="1" x14ac:dyDescent="0.2">
      <c r="A23" s="2"/>
      <c r="B23" s="177" t="s">
        <v>11</v>
      </c>
      <c r="C23" s="162"/>
      <c r="D23" s="160"/>
      <c r="E23" s="11" t="s">
        <v>9</v>
      </c>
      <c r="F23" s="12">
        <v>1</v>
      </c>
      <c r="G23" s="13">
        <f>VLOOKUP(B23,[1]Sheet4!M:N,2,FALSE)</f>
        <v>0</v>
      </c>
      <c r="H23" s="13">
        <f t="shared" si="4"/>
        <v>0</v>
      </c>
      <c r="I23" s="13">
        <f t="shared" si="3"/>
        <v>0</v>
      </c>
      <c r="J23" s="15">
        <f>SUM(I20,I21,I22,I23)</f>
        <v>0</v>
      </c>
      <c r="K23" s="1"/>
      <c r="L23" s="1"/>
      <c r="M23" s="1"/>
      <c r="N23" s="1"/>
      <c r="O23" s="1"/>
      <c r="P23" s="1"/>
      <c r="Q23" s="1"/>
      <c r="R23" s="1"/>
      <c r="S23" s="1"/>
      <c r="T23" s="1"/>
      <c r="U23" s="1"/>
      <c r="V23" s="1"/>
      <c r="W23" s="1"/>
      <c r="X23" s="1"/>
      <c r="Y23" s="1"/>
      <c r="Z23" s="1"/>
    </row>
    <row r="24" spans="1:26" ht="30" customHeight="1" x14ac:dyDescent="0.2">
      <c r="A24" s="16" t="s">
        <v>13</v>
      </c>
      <c r="B24" s="17" t="s">
        <v>14</v>
      </c>
      <c r="C24" s="17" t="s">
        <v>15</v>
      </c>
      <c r="D24" s="18" t="s">
        <v>16</v>
      </c>
      <c r="E24" s="18" t="s">
        <v>17</v>
      </c>
      <c r="F24" s="19" t="s">
        <v>18</v>
      </c>
      <c r="G24" s="3" t="s">
        <v>19</v>
      </c>
      <c r="H24" s="3" t="s">
        <v>20</v>
      </c>
      <c r="I24" s="20" t="s">
        <v>18</v>
      </c>
      <c r="J24" s="179" t="s">
        <v>21</v>
      </c>
      <c r="K24" s="180"/>
      <c r="L24" s="1"/>
      <c r="M24" s="1"/>
      <c r="N24" s="1"/>
      <c r="O24" s="1"/>
      <c r="P24" s="1"/>
      <c r="Q24" s="1"/>
      <c r="R24" s="1"/>
      <c r="S24" s="1"/>
      <c r="T24" s="1"/>
      <c r="U24" s="1"/>
      <c r="V24" s="1"/>
      <c r="W24" s="1"/>
      <c r="X24" s="1"/>
      <c r="Y24" s="1"/>
      <c r="Z24" s="1"/>
    </row>
    <row r="25" spans="1:26" ht="58.5" customHeight="1" x14ac:dyDescent="0.2">
      <c r="A25" s="22"/>
      <c r="B25" s="28"/>
      <c r="C25" s="26"/>
      <c r="D25" s="23"/>
      <c r="E25" s="23" t="s">
        <v>38</v>
      </c>
      <c r="F25" s="25" t="s">
        <v>30</v>
      </c>
      <c r="G25" s="21">
        <f>VLOOKUP(D25,Sheet2!H:I,2,FALSE)</f>
        <v>0</v>
      </c>
      <c r="H25" s="21">
        <f>VLOOKUP(E25,Sheet2!A:B,2,FALSE)</f>
        <v>0</v>
      </c>
      <c r="I25" s="20">
        <f>VLOOKUP(F25,Sheet2!L:M,2,FALSE)</f>
        <v>0</v>
      </c>
      <c r="J25" s="20">
        <f>VLOOKUP(E25,Sheet2!A:C,3,FALSE)</f>
        <v>0</v>
      </c>
      <c r="K25" s="1"/>
      <c r="L25" s="1"/>
      <c r="M25" s="1"/>
      <c r="N25" s="1"/>
      <c r="O25" s="1"/>
      <c r="P25" s="1"/>
      <c r="Q25" s="1"/>
      <c r="R25" s="1"/>
      <c r="S25" s="1"/>
      <c r="T25" s="1"/>
      <c r="U25" s="1"/>
      <c r="V25" s="1"/>
      <c r="W25" s="1"/>
      <c r="X25" s="1"/>
      <c r="Y25" s="1"/>
      <c r="Z25" s="1"/>
    </row>
    <row r="26" spans="1:26" ht="52.5" customHeight="1" x14ac:dyDescent="0.2">
      <c r="A26" s="22"/>
      <c r="B26" s="28"/>
      <c r="C26" s="26"/>
      <c r="D26" s="23"/>
      <c r="E26" s="23" t="s">
        <v>38</v>
      </c>
      <c r="F26" s="25" t="s">
        <v>30</v>
      </c>
      <c r="G26" s="21">
        <f>VLOOKUP(D26,Sheet2!H:I,2,FALSE)</f>
        <v>0</v>
      </c>
      <c r="H26" s="21">
        <f>VLOOKUP(E26,Sheet2!A:B,2,FALSE)</f>
        <v>0</v>
      </c>
      <c r="I26" s="20">
        <f>VLOOKUP(F26,Sheet2!L:M,2,FALSE)</f>
        <v>0</v>
      </c>
      <c r="J26" s="20">
        <f>VLOOKUP(E26,Sheet2!A:C,3,FALSE)</f>
        <v>0</v>
      </c>
      <c r="K26" s="1"/>
      <c r="L26" s="1"/>
      <c r="M26" s="1"/>
      <c r="N26" s="1"/>
      <c r="O26" s="1"/>
      <c r="P26" s="1"/>
      <c r="Q26" s="1"/>
      <c r="R26" s="1"/>
      <c r="S26" s="1"/>
      <c r="T26" s="1"/>
      <c r="U26" s="1"/>
      <c r="V26" s="1"/>
      <c r="W26" s="1"/>
      <c r="X26" s="1"/>
      <c r="Y26" s="1"/>
      <c r="Z26" s="1"/>
    </row>
    <row r="27" spans="1:26" ht="53.25" customHeight="1" x14ac:dyDescent="0.2">
      <c r="A27" s="22"/>
      <c r="B27" s="28"/>
      <c r="C27" s="26"/>
      <c r="D27" s="23"/>
      <c r="E27" s="23" t="s">
        <v>38</v>
      </c>
      <c r="F27" s="25" t="s">
        <v>30</v>
      </c>
      <c r="G27" s="21">
        <f>VLOOKUP(D27,Sheet2!H:I,2,FALSE)</f>
        <v>0</v>
      </c>
      <c r="H27" s="21">
        <f>VLOOKUP(E27,Sheet2!A:B,2,FALSE)</f>
        <v>0</v>
      </c>
      <c r="I27" s="20">
        <f>VLOOKUP(F27,Sheet2!L:M,2,FALSE)</f>
        <v>0</v>
      </c>
      <c r="J27" s="20">
        <f>VLOOKUP(E27,Sheet2!A:C,3,FALSE)</f>
        <v>0</v>
      </c>
      <c r="K27" s="1"/>
      <c r="L27" s="1"/>
      <c r="M27" s="1"/>
      <c r="N27" s="1"/>
      <c r="O27" s="1"/>
      <c r="P27" s="1"/>
      <c r="Q27" s="1"/>
      <c r="R27" s="1"/>
      <c r="S27" s="1"/>
      <c r="T27" s="1"/>
      <c r="U27" s="1"/>
      <c r="V27" s="1"/>
      <c r="W27" s="1"/>
      <c r="X27" s="1"/>
      <c r="Y27" s="1"/>
      <c r="Z27" s="1"/>
    </row>
    <row r="28" spans="1:26" ht="49.5" customHeight="1" x14ac:dyDescent="0.2">
      <c r="A28" s="22"/>
      <c r="B28" s="28"/>
      <c r="C28" s="26"/>
      <c r="D28" s="23"/>
      <c r="E28" s="23" t="s">
        <v>38</v>
      </c>
      <c r="F28" s="25" t="s">
        <v>30</v>
      </c>
      <c r="G28" s="21">
        <f>VLOOKUP(D28,Sheet2!H:I,2,FALSE)</f>
        <v>0</v>
      </c>
      <c r="H28" s="21">
        <v>0</v>
      </c>
      <c r="I28" s="20">
        <f>VLOOKUP(F28,Sheet2!L:M,2,FALSE)</f>
        <v>0</v>
      </c>
      <c r="J28" s="20">
        <v>0</v>
      </c>
      <c r="K28" s="1"/>
      <c r="L28" s="1"/>
      <c r="M28" s="1"/>
      <c r="N28" s="1"/>
      <c r="O28" s="1"/>
      <c r="P28" s="1"/>
      <c r="Q28" s="1"/>
      <c r="R28" s="1"/>
      <c r="S28" s="1"/>
      <c r="T28" s="1"/>
      <c r="U28" s="1"/>
      <c r="V28" s="1"/>
      <c r="W28" s="1"/>
      <c r="X28" s="1"/>
      <c r="Y28" s="1"/>
      <c r="Z28" s="1"/>
    </row>
    <row r="29" spans="1:26" ht="49.5" customHeight="1" x14ac:dyDescent="0.2">
      <c r="A29" s="22"/>
      <c r="B29" s="28"/>
      <c r="C29" s="26"/>
      <c r="D29" s="23"/>
      <c r="E29" s="23" t="s">
        <v>38</v>
      </c>
      <c r="F29" s="24" t="s">
        <v>30</v>
      </c>
      <c r="G29" s="21">
        <f>VLOOKUP(D29,Sheet2!H:I,2,FALSE)</f>
        <v>0</v>
      </c>
      <c r="H29" s="21">
        <v>0</v>
      </c>
      <c r="I29" s="20">
        <f>VLOOKUP(F29,Sheet2!L:M,2,FALSE)</f>
        <v>0</v>
      </c>
      <c r="J29" s="20">
        <v>0</v>
      </c>
      <c r="K29" s="1"/>
      <c r="L29" s="1"/>
      <c r="M29" s="1"/>
      <c r="N29" s="1"/>
      <c r="O29" s="1"/>
      <c r="P29" s="1"/>
      <c r="Q29" s="1"/>
      <c r="R29" s="1"/>
      <c r="S29" s="1"/>
      <c r="T29" s="1"/>
      <c r="U29" s="1"/>
      <c r="V29" s="1"/>
      <c r="W29" s="1"/>
      <c r="X29" s="1"/>
      <c r="Y29" s="1"/>
      <c r="Z29" s="1"/>
    </row>
    <row r="30" spans="1:26" ht="49.5" customHeight="1" x14ac:dyDescent="0.2">
      <c r="A30" s="22"/>
      <c r="B30" s="28"/>
      <c r="C30" s="26"/>
      <c r="D30" s="23"/>
      <c r="E30" s="23" t="s">
        <v>38</v>
      </c>
      <c r="F30" s="24" t="s">
        <v>30</v>
      </c>
      <c r="G30" s="21">
        <f>VLOOKUP(D30,Sheet2!H:I,2,FALSE)</f>
        <v>0</v>
      </c>
      <c r="H30" s="21">
        <f>VLOOKUP(E30,Sheet2!A:B,2,FALSE)</f>
        <v>0</v>
      </c>
      <c r="I30" s="20">
        <f>VLOOKUP(F30,Sheet2!L:M,2,FALSE)</f>
        <v>0</v>
      </c>
      <c r="J30" s="20">
        <f>VLOOKUP(E30,Sheet2!A:C,3,FALSE)</f>
        <v>0</v>
      </c>
      <c r="K30" s="1"/>
      <c r="L30" s="1"/>
      <c r="M30" s="1"/>
      <c r="N30" s="1"/>
      <c r="O30" s="1"/>
      <c r="P30" s="1"/>
      <c r="Q30" s="1"/>
      <c r="R30" s="1"/>
      <c r="S30" s="1"/>
      <c r="T30" s="1"/>
      <c r="U30" s="1"/>
      <c r="V30" s="1"/>
      <c r="W30" s="1"/>
      <c r="X30" s="1"/>
      <c r="Y30" s="1"/>
      <c r="Z30" s="1"/>
    </row>
    <row r="31" spans="1:26" ht="49.5" customHeight="1" x14ac:dyDescent="0.2">
      <c r="A31" s="22"/>
      <c r="B31" s="28"/>
      <c r="C31" s="26"/>
      <c r="D31" s="23"/>
      <c r="E31" s="23" t="s">
        <v>38</v>
      </c>
      <c r="F31" s="25" t="s">
        <v>30</v>
      </c>
      <c r="G31" s="21">
        <f>VLOOKUP(D31,Sheet2!H:I,2,FALSE)</f>
        <v>0</v>
      </c>
      <c r="H31" s="21">
        <f>VLOOKUP(E31,Sheet2!A:B,2,FALSE)</f>
        <v>0</v>
      </c>
      <c r="I31" s="20">
        <f>VLOOKUP(F31,Sheet2!L:M,2,FALSE)</f>
        <v>0</v>
      </c>
      <c r="J31" s="20">
        <f>VLOOKUP(E31,Sheet2!A:C,3,FALSE)</f>
        <v>0</v>
      </c>
      <c r="K31" s="1"/>
      <c r="L31" s="1"/>
      <c r="M31" s="1"/>
      <c r="N31" s="1"/>
      <c r="O31" s="1"/>
      <c r="P31" s="1"/>
      <c r="Q31" s="1"/>
      <c r="R31" s="1"/>
      <c r="S31" s="1"/>
      <c r="T31" s="1"/>
      <c r="U31" s="1"/>
      <c r="V31" s="1"/>
      <c r="W31" s="1"/>
      <c r="X31" s="1"/>
      <c r="Y31" s="1"/>
      <c r="Z31" s="1"/>
    </row>
    <row r="32" spans="1:26" ht="49.5" customHeight="1" x14ac:dyDescent="0.2">
      <c r="A32" s="22"/>
      <c r="B32" s="28"/>
      <c r="C32" s="26"/>
      <c r="D32" s="23"/>
      <c r="E32" s="23" t="s">
        <v>38</v>
      </c>
      <c r="F32" s="25" t="s">
        <v>30</v>
      </c>
      <c r="G32" s="21">
        <f>VLOOKUP(D32,Sheet2!H:I,2,FALSE)</f>
        <v>0</v>
      </c>
      <c r="H32" s="21">
        <f>VLOOKUP(E32,Sheet2!A:B,2,FALSE)</f>
        <v>0</v>
      </c>
      <c r="I32" s="20">
        <f>VLOOKUP(F32,Sheet2!L:M,2,FALSE)</f>
        <v>0</v>
      </c>
      <c r="J32" s="20">
        <f>VLOOKUP(E32,Sheet2!A:C,3,FALSE)</f>
        <v>0</v>
      </c>
      <c r="K32" s="1"/>
      <c r="L32" s="1"/>
      <c r="M32" s="1"/>
      <c r="N32" s="1"/>
      <c r="O32" s="1"/>
      <c r="P32" s="1"/>
      <c r="Q32" s="1"/>
      <c r="R32" s="1"/>
      <c r="S32" s="1"/>
      <c r="T32" s="1"/>
      <c r="U32" s="1"/>
      <c r="V32" s="1"/>
      <c r="W32" s="1"/>
      <c r="X32" s="1"/>
      <c r="Y32" s="1"/>
      <c r="Z32" s="1"/>
    </row>
    <row r="33" spans="1:26" ht="49.5" customHeight="1" x14ac:dyDescent="0.2">
      <c r="A33" s="22"/>
      <c r="B33" s="28"/>
      <c r="C33" s="26"/>
      <c r="D33" s="23"/>
      <c r="E33" s="23" t="s">
        <v>38</v>
      </c>
      <c r="F33" s="24" t="s">
        <v>30</v>
      </c>
      <c r="G33" s="21">
        <f>VLOOKUP(D33,Sheet2!H:I,2,FALSE)</f>
        <v>0</v>
      </c>
      <c r="H33" s="21">
        <f>VLOOKUP(E33,Sheet2!A:B,2,FALSE)</f>
        <v>0</v>
      </c>
      <c r="I33" s="20">
        <f>VLOOKUP(F33,Sheet2!L:M,2,FALSE)</f>
        <v>0</v>
      </c>
      <c r="J33" s="20">
        <f>VLOOKUP(E33,Sheet2!A:C,3,FALSE)</f>
        <v>0</v>
      </c>
      <c r="K33" s="1"/>
      <c r="L33" s="1"/>
      <c r="M33" s="1"/>
      <c r="N33" s="1"/>
      <c r="O33" s="1"/>
      <c r="P33" s="1"/>
      <c r="Q33" s="1"/>
      <c r="R33" s="1"/>
      <c r="S33" s="1"/>
      <c r="T33" s="1"/>
      <c r="U33" s="1"/>
      <c r="V33" s="1"/>
      <c r="W33" s="1"/>
      <c r="X33" s="1"/>
      <c r="Y33" s="1"/>
      <c r="Z33" s="1"/>
    </row>
    <row r="34" spans="1:26" ht="49.5" customHeight="1" x14ac:dyDescent="0.2">
      <c r="A34" s="22"/>
      <c r="B34" s="28"/>
      <c r="C34" s="26"/>
      <c r="D34" s="23"/>
      <c r="E34" s="23" t="s">
        <v>38</v>
      </c>
      <c r="F34" s="25" t="s">
        <v>30</v>
      </c>
      <c r="G34" s="21">
        <f>VLOOKUP(D34,Sheet2!H:I,2,FALSE)</f>
        <v>0</v>
      </c>
      <c r="H34" s="21">
        <f>VLOOKUP(E34,Sheet2!A:B,2,FALSE)</f>
        <v>0</v>
      </c>
      <c r="I34" s="20">
        <f>VLOOKUP(F34,Sheet2!L:M,2,FALSE)</f>
        <v>0</v>
      </c>
      <c r="J34" s="20">
        <f>VLOOKUP(E34,Sheet2!A:C,3,FALSE)</f>
        <v>0</v>
      </c>
      <c r="K34" s="1"/>
      <c r="L34" s="1"/>
      <c r="M34" s="1"/>
      <c r="N34" s="1"/>
      <c r="O34" s="1"/>
      <c r="P34" s="1"/>
      <c r="Q34" s="1"/>
      <c r="R34" s="1"/>
      <c r="S34" s="1"/>
      <c r="T34" s="1"/>
      <c r="U34" s="1"/>
      <c r="V34" s="1"/>
      <c r="W34" s="1"/>
      <c r="X34" s="1"/>
      <c r="Y34" s="1"/>
      <c r="Z34" s="1"/>
    </row>
    <row r="35" spans="1:26" ht="49.5" customHeight="1" x14ac:dyDescent="0.2">
      <c r="A35" s="22"/>
      <c r="B35" s="28"/>
      <c r="C35" s="26"/>
      <c r="D35" s="23"/>
      <c r="E35" s="23" t="s">
        <v>38</v>
      </c>
      <c r="F35" s="27" t="s">
        <v>30</v>
      </c>
      <c r="G35" s="21">
        <f>VLOOKUP(D35,Sheet2!H:I,2,FALSE)</f>
        <v>0</v>
      </c>
      <c r="H35" s="21">
        <f>VLOOKUP(E35,Sheet2!A:B,2,FALSE)</f>
        <v>0</v>
      </c>
      <c r="I35" s="20">
        <f>VLOOKUP(F35,Sheet2!L:M,2,FALSE)</f>
        <v>0</v>
      </c>
      <c r="J35" s="20">
        <f>VLOOKUP(E35,Sheet2!A:C,3,FALSE)</f>
        <v>0</v>
      </c>
      <c r="K35" s="1"/>
      <c r="L35" s="1"/>
      <c r="M35" s="1"/>
      <c r="N35" s="1"/>
      <c r="O35" s="1"/>
      <c r="P35" s="1"/>
      <c r="Q35" s="1"/>
      <c r="R35" s="1"/>
      <c r="S35" s="1"/>
      <c r="T35" s="1"/>
      <c r="U35" s="1"/>
      <c r="V35" s="1"/>
      <c r="W35" s="1"/>
      <c r="X35" s="1"/>
      <c r="Y35" s="1"/>
      <c r="Z35" s="1"/>
    </row>
    <row r="36" spans="1:26" ht="49.5" customHeight="1" x14ac:dyDescent="0.2">
      <c r="A36" s="22"/>
      <c r="B36" s="28"/>
      <c r="C36" s="26"/>
      <c r="D36" s="23"/>
      <c r="E36" s="23" t="s">
        <v>38</v>
      </c>
      <c r="F36" s="27" t="s">
        <v>30</v>
      </c>
      <c r="G36" s="21">
        <f>VLOOKUP(D36,Sheet2!H:I,2,FALSE)</f>
        <v>0</v>
      </c>
      <c r="H36" s="21">
        <f>VLOOKUP(E36,Sheet2!A:B,2,FALSE)</f>
        <v>0</v>
      </c>
      <c r="I36" s="20">
        <f>VLOOKUP(F36,Sheet2!L:M,2,FALSE)</f>
        <v>0</v>
      </c>
      <c r="J36" s="20">
        <f>VLOOKUP(E36,Sheet2!A:C,3,FALSE)</f>
        <v>0</v>
      </c>
      <c r="K36" s="1"/>
      <c r="L36" s="1"/>
      <c r="M36" s="1"/>
      <c r="N36" s="1"/>
      <c r="O36" s="1"/>
      <c r="P36" s="1"/>
      <c r="Q36" s="1"/>
      <c r="R36" s="1"/>
      <c r="S36" s="1"/>
      <c r="T36" s="1"/>
      <c r="U36" s="1"/>
      <c r="V36" s="1"/>
      <c r="W36" s="1"/>
      <c r="X36" s="1"/>
      <c r="Y36" s="1"/>
      <c r="Z36" s="1"/>
    </row>
    <row r="37" spans="1:26" ht="49.5" customHeight="1" x14ac:dyDescent="0.2">
      <c r="A37" s="22"/>
      <c r="B37" s="28"/>
      <c r="C37" s="26"/>
      <c r="D37" s="23"/>
      <c r="E37" s="23" t="s">
        <v>38</v>
      </c>
      <c r="F37" s="27" t="s">
        <v>30</v>
      </c>
      <c r="G37" s="21">
        <f>VLOOKUP(D37,Sheet2!H:I,2,FALSE)</f>
        <v>0</v>
      </c>
      <c r="H37" s="21">
        <f>VLOOKUP(E37,Sheet2!A:B,2,FALSE)</f>
        <v>0</v>
      </c>
      <c r="I37" s="20">
        <f>VLOOKUP(F37,Sheet2!L:M,2,FALSE)</f>
        <v>0</v>
      </c>
      <c r="J37" s="20">
        <f>VLOOKUP(E37,Sheet2!A:C,3,FALSE)</f>
        <v>0</v>
      </c>
      <c r="K37" s="1"/>
      <c r="L37" s="1"/>
      <c r="M37" s="1"/>
      <c r="N37" s="1"/>
      <c r="O37" s="1"/>
      <c r="P37" s="1"/>
      <c r="Q37" s="1"/>
      <c r="R37" s="1"/>
      <c r="S37" s="1"/>
      <c r="T37" s="1"/>
      <c r="U37" s="1"/>
      <c r="V37" s="1"/>
      <c r="W37" s="1"/>
      <c r="X37" s="1"/>
      <c r="Y37" s="1"/>
      <c r="Z37" s="1"/>
    </row>
    <row r="38" spans="1:26" ht="49.5" customHeight="1" x14ac:dyDescent="0.2">
      <c r="A38" s="22"/>
      <c r="B38" s="28"/>
      <c r="C38" s="26"/>
      <c r="D38" s="23"/>
      <c r="E38" s="23" t="s">
        <v>38</v>
      </c>
      <c r="F38" s="27" t="s">
        <v>30</v>
      </c>
      <c r="G38" s="21">
        <f>VLOOKUP(D38,Sheet2!H:I,2,FALSE)</f>
        <v>0</v>
      </c>
      <c r="H38" s="21">
        <f>VLOOKUP(E38,Sheet2!A:B,2,FALSE)</f>
        <v>0</v>
      </c>
      <c r="I38" s="20">
        <f>VLOOKUP(F38,Sheet2!L:M,2,FALSE)</f>
        <v>0</v>
      </c>
      <c r="J38" s="20">
        <f>VLOOKUP(E38,Sheet2!A:C,3,FALSE)</f>
        <v>0</v>
      </c>
      <c r="K38" s="1"/>
      <c r="L38" s="1"/>
      <c r="M38" s="1"/>
      <c r="N38" s="1"/>
      <c r="O38" s="1"/>
      <c r="P38" s="1"/>
      <c r="Q38" s="1"/>
      <c r="R38" s="1"/>
      <c r="S38" s="1"/>
      <c r="T38" s="1"/>
      <c r="U38" s="1"/>
      <c r="V38" s="1"/>
      <c r="W38" s="1"/>
      <c r="X38" s="1"/>
      <c r="Y38" s="1"/>
      <c r="Z38" s="1"/>
    </row>
    <row r="39" spans="1:26" ht="74.25" customHeight="1" x14ac:dyDescent="0.2">
      <c r="A39" s="22"/>
      <c r="B39" s="28"/>
      <c r="C39" s="26"/>
      <c r="D39" s="23"/>
      <c r="E39" s="23" t="s">
        <v>38</v>
      </c>
      <c r="F39" s="27" t="s">
        <v>30</v>
      </c>
      <c r="G39" s="21">
        <f>VLOOKUP(D39,Sheet2!H:I,2,FALSE)</f>
        <v>0</v>
      </c>
      <c r="H39" s="21">
        <f>VLOOKUP(E39,Sheet2!A:B,2,FALSE)</f>
        <v>0</v>
      </c>
      <c r="I39" s="20">
        <f>VLOOKUP(F39,Sheet2!L:M,2,FALSE)</f>
        <v>0</v>
      </c>
      <c r="J39" s="20">
        <f>VLOOKUP(E39,Sheet2!A:C,3,FALSE)</f>
        <v>0</v>
      </c>
      <c r="K39" s="1"/>
      <c r="L39" s="1"/>
      <c r="M39" s="1"/>
      <c r="N39" s="1"/>
      <c r="O39" s="1"/>
      <c r="P39" s="1"/>
      <c r="Q39" s="1"/>
      <c r="R39" s="1"/>
      <c r="S39" s="1"/>
      <c r="T39" s="1"/>
      <c r="U39" s="1"/>
      <c r="V39" s="1"/>
      <c r="W39" s="1"/>
      <c r="X39" s="1"/>
      <c r="Y39" s="1"/>
      <c r="Z39" s="1"/>
    </row>
    <row r="40" spans="1:26" ht="49.5" customHeight="1" x14ac:dyDescent="0.2">
      <c r="A40" s="22"/>
      <c r="B40" s="28"/>
      <c r="C40" s="26"/>
      <c r="D40" s="23"/>
      <c r="E40" s="23" t="s">
        <v>38</v>
      </c>
      <c r="F40" s="27" t="s">
        <v>30</v>
      </c>
      <c r="G40" s="21">
        <f>VLOOKUP(D40,Sheet2!H:I,2,FALSE)</f>
        <v>0</v>
      </c>
      <c r="H40" s="21">
        <f>VLOOKUP(E40,Sheet2!A:B,2,FALSE)</f>
        <v>0</v>
      </c>
      <c r="I40" s="20">
        <f>VLOOKUP(F40,Sheet2!L:M,2,FALSE)</f>
        <v>0</v>
      </c>
      <c r="J40" s="20">
        <f>VLOOKUP(E40,Sheet2!A:C,3,FALSE)</f>
        <v>0</v>
      </c>
      <c r="K40" s="1"/>
      <c r="L40" s="1"/>
      <c r="M40" s="1"/>
      <c r="N40" s="1"/>
      <c r="O40" s="1"/>
      <c r="P40" s="1"/>
      <c r="Q40" s="1"/>
      <c r="R40" s="1"/>
      <c r="S40" s="1"/>
      <c r="T40" s="1"/>
      <c r="U40" s="1"/>
      <c r="V40" s="1"/>
      <c r="W40" s="1"/>
      <c r="X40" s="1"/>
      <c r="Y40" s="1"/>
      <c r="Z40" s="1"/>
    </row>
    <row r="41" spans="1:26" ht="49.5" customHeight="1" x14ac:dyDescent="0.2">
      <c r="A41" s="22"/>
      <c r="B41" s="28"/>
      <c r="C41" s="26"/>
      <c r="D41" s="23"/>
      <c r="E41" s="23" t="s">
        <v>38</v>
      </c>
      <c r="F41" s="27" t="s">
        <v>30</v>
      </c>
      <c r="G41" s="21">
        <f>VLOOKUP(D41,Sheet2!H:I,2,FALSE)</f>
        <v>0</v>
      </c>
      <c r="H41" s="21">
        <f>VLOOKUP(E41,Sheet2!A:B,2,FALSE)</f>
        <v>0</v>
      </c>
      <c r="I41" s="20">
        <f>VLOOKUP(F41,Sheet2!L:M,2,FALSE)</f>
        <v>0</v>
      </c>
      <c r="J41" s="20">
        <f>VLOOKUP(E41,Sheet2!A:C,3,FALSE)</f>
        <v>0</v>
      </c>
      <c r="K41" s="1"/>
      <c r="L41" s="1"/>
      <c r="M41" s="1"/>
      <c r="N41" s="1"/>
      <c r="O41" s="1"/>
      <c r="P41" s="1"/>
      <c r="Q41" s="1"/>
      <c r="R41" s="1"/>
      <c r="S41" s="1"/>
      <c r="T41" s="1"/>
      <c r="U41" s="1"/>
      <c r="V41" s="1"/>
      <c r="W41" s="1"/>
      <c r="X41" s="1"/>
      <c r="Y41" s="1"/>
      <c r="Z41" s="1"/>
    </row>
    <row r="42" spans="1:26" ht="49.5" customHeight="1" x14ac:dyDescent="0.2">
      <c r="A42" s="22"/>
      <c r="B42" s="29"/>
      <c r="C42" s="23"/>
      <c r="D42" s="23"/>
      <c r="E42" s="23" t="s">
        <v>38</v>
      </c>
      <c r="F42" s="27" t="s">
        <v>30</v>
      </c>
      <c r="G42" s="21">
        <f>VLOOKUP(D42,Sheet2!H:I,2,FALSE)</f>
        <v>0</v>
      </c>
      <c r="H42" s="21">
        <f>VLOOKUP(E42,Sheet2!A:B,2,FALSE)</f>
        <v>0</v>
      </c>
      <c r="I42" s="20">
        <f>VLOOKUP(F42,Sheet2!L:M,2,FALSE)</f>
        <v>0</v>
      </c>
      <c r="J42" s="20">
        <f>VLOOKUP(E42,Sheet2!A:C,3,FALSE)</f>
        <v>0</v>
      </c>
      <c r="K42" s="1"/>
      <c r="L42" s="1"/>
      <c r="M42" s="1"/>
      <c r="N42" s="1"/>
      <c r="O42" s="1"/>
      <c r="P42" s="1"/>
      <c r="Q42" s="1"/>
      <c r="R42" s="1"/>
      <c r="S42" s="1"/>
      <c r="T42" s="1"/>
      <c r="U42" s="1"/>
      <c r="V42" s="1"/>
      <c r="W42" s="1"/>
      <c r="X42" s="1"/>
      <c r="Y42" s="1"/>
      <c r="Z42" s="1"/>
    </row>
    <row r="43" spans="1:26" ht="49.5" customHeight="1" x14ac:dyDescent="0.2">
      <c r="A43" s="22"/>
      <c r="B43" s="29"/>
      <c r="C43" s="23"/>
      <c r="D43" s="23"/>
      <c r="E43" s="23" t="s">
        <v>38</v>
      </c>
      <c r="F43" s="27" t="s">
        <v>30</v>
      </c>
      <c r="G43" s="21">
        <f>VLOOKUP(D43,Sheet2!H:I,2,FALSE)</f>
        <v>0</v>
      </c>
      <c r="H43" s="21">
        <f>VLOOKUP(E43,Sheet2!A:B,2,FALSE)</f>
        <v>0</v>
      </c>
      <c r="I43" s="20">
        <f>VLOOKUP(F43,Sheet2!L:M,2,FALSE)</f>
        <v>0</v>
      </c>
      <c r="J43" s="20">
        <f>VLOOKUP(E43,Sheet2!A:C,3,FALSE)</f>
        <v>0</v>
      </c>
      <c r="K43" s="1"/>
      <c r="L43" s="1"/>
      <c r="M43" s="1"/>
      <c r="N43" s="1"/>
      <c r="O43" s="1"/>
      <c r="P43" s="1"/>
      <c r="Q43" s="1"/>
      <c r="R43" s="1"/>
      <c r="S43" s="1"/>
      <c r="T43" s="1"/>
      <c r="U43" s="1"/>
      <c r="V43" s="1"/>
      <c r="W43" s="1"/>
      <c r="X43" s="1"/>
      <c r="Y43" s="1"/>
      <c r="Z43" s="1"/>
    </row>
    <row r="44" spans="1:26" ht="49.5" customHeight="1" x14ac:dyDescent="0.2">
      <c r="A44" s="22"/>
      <c r="B44" s="29"/>
      <c r="C44" s="23"/>
      <c r="D44" s="23"/>
      <c r="E44" s="23" t="s">
        <v>38</v>
      </c>
      <c r="F44" s="27" t="s">
        <v>30</v>
      </c>
      <c r="G44" s="21">
        <f>VLOOKUP(D44,Sheet2!H:I,2,FALSE)</f>
        <v>0</v>
      </c>
      <c r="H44" s="21">
        <f>VLOOKUP(E44,Sheet2!A:B,2,FALSE)</f>
        <v>0</v>
      </c>
      <c r="I44" s="20">
        <f>VLOOKUP(F44,Sheet2!L:M,2,FALSE)</f>
        <v>0</v>
      </c>
      <c r="J44" s="20">
        <f>VLOOKUP(E44,Sheet2!A:C,3,FALSE)</f>
        <v>0</v>
      </c>
      <c r="K44" s="1"/>
      <c r="L44" s="1"/>
      <c r="M44" s="1"/>
      <c r="N44" s="1"/>
      <c r="O44" s="1"/>
      <c r="P44" s="1"/>
      <c r="Q44" s="1"/>
      <c r="R44" s="1"/>
      <c r="S44" s="1"/>
      <c r="T44" s="1"/>
      <c r="U44" s="1"/>
      <c r="V44" s="1"/>
      <c r="W44" s="1"/>
      <c r="X44" s="1"/>
      <c r="Y44" s="1"/>
      <c r="Z44" s="1"/>
    </row>
    <row r="45" spans="1:26" ht="49.5" customHeight="1" x14ac:dyDescent="0.2">
      <c r="A45" s="22"/>
      <c r="B45" s="29"/>
      <c r="C45" s="23"/>
      <c r="D45" s="23"/>
      <c r="E45" s="23" t="s">
        <v>38</v>
      </c>
      <c r="F45" s="27" t="s">
        <v>30</v>
      </c>
      <c r="G45" s="21">
        <f>VLOOKUP(D45,Sheet2!H:I,2,FALSE)</f>
        <v>0</v>
      </c>
      <c r="H45" s="21">
        <f>VLOOKUP(E45,Sheet2!A:B,2,FALSE)</f>
        <v>0</v>
      </c>
      <c r="I45" s="20">
        <f>VLOOKUP(F45,Sheet2!L:M,2,FALSE)</f>
        <v>0</v>
      </c>
      <c r="J45" s="20">
        <f>VLOOKUP(E45,Sheet2!A:C,3,FALSE)</f>
        <v>0</v>
      </c>
      <c r="K45" s="1"/>
      <c r="L45" s="1"/>
      <c r="M45" s="1"/>
      <c r="N45" s="1"/>
      <c r="O45" s="1"/>
      <c r="P45" s="1"/>
      <c r="Q45" s="1"/>
      <c r="R45" s="1"/>
      <c r="S45" s="1"/>
      <c r="T45" s="1"/>
      <c r="U45" s="1"/>
      <c r="V45" s="1"/>
      <c r="W45" s="1"/>
      <c r="X45" s="1"/>
      <c r="Y45" s="1"/>
      <c r="Z45" s="1"/>
    </row>
    <row r="46" spans="1:26" ht="49.5" customHeight="1" x14ac:dyDescent="0.2">
      <c r="A46" s="22"/>
      <c r="B46" s="29"/>
      <c r="C46" s="23"/>
      <c r="D46" s="23"/>
      <c r="E46" s="23" t="s">
        <v>38</v>
      </c>
      <c r="F46" s="27" t="s">
        <v>30</v>
      </c>
      <c r="G46" s="21">
        <f>VLOOKUP(D46,Sheet2!H:I,2,FALSE)</f>
        <v>0</v>
      </c>
      <c r="H46" s="21">
        <f>VLOOKUP(E46,Sheet2!A:B,2,FALSE)</f>
        <v>0</v>
      </c>
      <c r="I46" s="20">
        <f>VLOOKUP(F46,Sheet2!L:M,2,FALSE)</f>
        <v>0</v>
      </c>
      <c r="J46" s="20">
        <f>VLOOKUP(E46,Sheet2!A:C,3,FALSE)</f>
        <v>0</v>
      </c>
      <c r="K46" s="1"/>
      <c r="L46" s="1"/>
      <c r="M46" s="1"/>
      <c r="N46" s="1"/>
      <c r="O46" s="1"/>
      <c r="P46" s="1"/>
      <c r="Q46" s="1"/>
      <c r="R46" s="1"/>
      <c r="S46" s="1"/>
      <c r="T46" s="1"/>
      <c r="U46" s="1"/>
      <c r="V46" s="1"/>
      <c r="W46" s="1"/>
      <c r="X46" s="1"/>
      <c r="Y46" s="1"/>
      <c r="Z46" s="1"/>
    </row>
    <row r="47" spans="1:26" ht="57.75" customHeight="1" x14ac:dyDescent="0.2">
      <c r="A47" s="172" t="s">
        <v>39</v>
      </c>
      <c r="B47" s="173"/>
      <c r="C47" s="173"/>
      <c r="D47" s="173"/>
      <c r="E47" s="173"/>
      <c r="F47" s="174"/>
      <c r="G47" s="30">
        <f>SUM(G25,G26,G27,G28,G29,G30,G31,G32,G33,G34,G35,G36,G37,G38,G39,G40,G41,G42,G43,G46)</f>
        <v>0</v>
      </c>
      <c r="H47" s="31">
        <f>SUM(H25,H26,H27,H28,H29,H30,H31,H32,H33,H34,H35,H36,H37,H38,H39,H40,H41,H42,H43,H46,H45,I44)</f>
        <v>0</v>
      </c>
      <c r="I47" s="31">
        <f>SUM(I29+I25+I26+I27+I28+I30+I31+I32+I33+I34+I35+I36+I37+I38+I39+I40+I41+I42+I43+I44+I45+I46)</f>
        <v>0</v>
      </c>
      <c r="J47" s="31">
        <f>SUM(J25,J26,J27,J28,J29,J31,J30,J32,J33,J34,J35,J36,J37,J38,J40,J39,J41,J42,J43,J46,J44,J45)</f>
        <v>0</v>
      </c>
      <c r="K47" s="1"/>
      <c r="L47" s="1"/>
      <c r="M47" s="1"/>
      <c r="N47" s="1"/>
      <c r="O47" s="1">
        <f>I47/F4</f>
        <v>0</v>
      </c>
      <c r="P47" s="1"/>
      <c r="Q47" s="1"/>
      <c r="R47" s="1"/>
      <c r="S47" s="1"/>
      <c r="T47" s="1"/>
      <c r="U47" s="1"/>
      <c r="V47" s="1"/>
      <c r="W47" s="1"/>
      <c r="X47" s="1"/>
      <c r="Y47" s="1"/>
      <c r="Z47" s="1"/>
    </row>
    <row r="48" spans="1:26" ht="18.75" customHeight="1" x14ac:dyDescent="0.2">
      <c r="A48" s="175"/>
      <c r="B48" s="162"/>
      <c r="C48" s="160"/>
      <c r="D48" s="176"/>
      <c r="E48" s="162"/>
      <c r="F48" s="164"/>
      <c r="G48" s="32">
        <f>(G47/F4)</f>
        <v>0</v>
      </c>
      <c r="H48" s="159">
        <f>SUM(H47,I47)</f>
        <v>0</v>
      </c>
      <c r="I48" s="160"/>
      <c r="J48" s="33">
        <f>(J47/F4)</f>
        <v>0</v>
      </c>
      <c r="K48" s="34"/>
      <c r="L48" s="34"/>
      <c r="M48" s="34"/>
      <c r="N48" s="34"/>
      <c r="O48" s="1"/>
      <c r="P48" s="1"/>
      <c r="Q48" s="1"/>
      <c r="R48" s="1"/>
      <c r="S48" s="1"/>
      <c r="T48" s="1"/>
      <c r="U48" s="1"/>
      <c r="V48" s="1"/>
      <c r="W48" s="1"/>
      <c r="X48" s="1"/>
      <c r="Y48" s="1"/>
      <c r="Z48" s="1"/>
    </row>
    <row r="49" spans="1:26" ht="80.25" customHeight="1" x14ac:dyDescent="0.2">
      <c r="A49" s="161" t="s">
        <v>40</v>
      </c>
      <c r="B49" s="162"/>
      <c r="C49" s="160"/>
      <c r="D49" s="163" t="s">
        <v>41</v>
      </c>
      <c r="E49" s="162"/>
      <c r="F49" s="164"/>
      <c r="G49" s="35">
        <f>SUM(G48,H48,J48,J13)</f>
        <v>146.66666666666669</v>
      </c>
      <c r="H49" s="1"/>
      <c r="I49" s="15">
        <f>SUM(G48,H48,J48,J18)</f>
        <v>0</v>
      </c>
      <c r="J49" s="15">
        <f>SUM(G48,H48,J48,J23)</f>
        <v>0</v>
      </c>
      <c r="K49" s="1"/>
      <c r="L49" s="1"/>
      <c r="M49" s="1"/>
      <c r="N49" s="1"/>
      <c r="O49" s="1"/>
      <c r="P49" s="1"/>
      <c r="Q49" s="1"/>
      <c r="R49" s="1"/>
      <c r="S49" s="1"/>
      <c r="T49" s="1"/>
      <c r="U49" s="1"/>
      <c r="V49" s="1"/>
      <c r="W49" s="1"/>
      <c r="X49" s="1"/>
      <c r="Y49" s="1"/>
      <c r="Z49" s="1"/>
    </row>
    <row r="50" spans="1:26" ht="22.5" customHeight="1" x14ac:dyDescent="0.2">
      <c r="A50" s="165" t="s">
        <v>42</v>
      </c>
      <c r="B50" s="166"/>
      <c r="C50" s="166"/>
      <c r="D50" s="166"/>
      <c r="E50" s="166"/>
      <c r="F50" s="167"/>
      <c r="G50" s="1"/>
      <c r="H50" s="13">
        <f>SUM(G48,H48,J13,J18,J23,J48)</f>
        <v>146.66666666666669</v>
      </c>
      <c r="I50" s="1"/>
      <c r="J50" s="1"/>
      <c r="K50" s="1"/>
      <c r="L50" s="1"/>
      <c r="M50" s="1"/>
      <c r="N50" s="1"/>
      <c r="O50" s="1"/>
      <c r="P50" s="1"/>
      <c r="Q50" s="1"/>
      <c r="R50" s="1"/>
      <c r="S50" s="1"/>
      <c r="T50" s="1"/>
      <c r="U50" s="1"/>
      <c r="V50" s="1"/>
      <c r="W50" s="1"/>
      <c r="X50" s="1"/>
      <c r="Y50" s="1"/>
      <c r="Z50" s="1"/>
    </row>
    <row r="51" spans="1:26" ht="18.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61.5" customHeight="1" x14ac:dyDescent="0.2">
      <c r="A52" s="168" t="s">
        <v>43</v>
      </c>
      <c r="B52" s="169"/>
      <c r="C52" s="169"/>
      <c r="D52" s="169"/>
      <c r="E52" s="169"/>
      <c r="F52" s="170"/>
      <c r="G52" s="1"/>
      <c r="H52" s="1"/>
      <c r="I52" s="1"/>
      <c r="J52" s="1"/>
      <c r="K52" s="1"/>
      <c r="L52" s="1"/>
      <c r="M52" s="1"/>
      <c r="N52" s="1"/>
      <c r="O52" s="1"/>
      <c r="P52" s="1"/>
      <c r="Q52" s="1"/>
      <c r="R52" s="1"/>
      <c r="S52" s="1"/>
      <c r="T52" s="1"/>
      <c r="U52" s="1"/>
      <c r="V52" s="1"/>
      <c r="W52" s="1"/>
      <c r="X52" s="1"/>
      <c r="Y52" s="1"/>
      <c r="Z52" s="1"/>
    </row>
    <row r="53" spans="1:26" ht="21" customHeight="1" x14ac:dyDescent="0.2">
      <c r="A53" s="156" t="s">
        <v>44</v>
      </c>
      <c r="B53" s="157"/>
      <c r="C53" s="157"/>
      <c r="D53" s="157"/>
      <c r="E53" s="157"/>
      <c r="F53" s="158"/>
      <c r="G53" s="1"/>
      <c r="H53" s="1"/>
      <c r="I53" s="1"/>
      <c r="J53" s="1"/>
      <c r="K53" s="1"/>
      <c r="L53" s="1"/>
      <c r="M53" s="1"/>
      <c r="N53" s="1"/>
      <c r="O53" s="1"/>
      <c r="P53" s="1"/>
      <c r="Q53" s="1"/>
      <c r="R53" s="1"/>
      <c r="S53" s="1"/>
      <c r="T53" s="1"/>
      <c r="U53" s="1"/>
      <c r="V53" s="1"/>
      <c r="W53" s="1"/>
      <c r="X53" s="1"/>
      <c r="Y53" s="1"/>
      <c r="Z53" s="1"/>
    </row>
    <row r="54" spans="1:26" ht="15" customHeight="1" x14ac:dyDescent="0.2">
      <c r="A54" s="156" t="s">
        <v>45</v>
      </c>
      <c r="B54" s="157"/>
      <c r="C54" s="157"/>
      <c r="D54" s="157"/>
      <c r="E54" s="157"/>
      <c r="F54" s="158"/>
      <c r="G54" s="1"/>
      <c r="H54" s="1"/>
      <c r="I54" s="1"/>
      <c r="J54" s="1"/>
      <c r="K54" s="1"/>
      <c r="L54" s="1"/>
      <c r="M54" s="1"/>
      <c r="N54" s="1"/>
      <c r="O54" s="1"/>
      <c r="P54" s="1"/>
      <c r="Q54" s="1"/>
      <c r="R54" s="1"/>
      <c r="S54" s="1"/>
      <c r="T54" s="1"/>
      <c r="U54" s="1"/>
      <c r="V54" s="1"/>
      <c r="W54" s="1"/>
      <c r="X54" s="1"/>
      <c r="Y54" s="1"/>
      <c r="Z54" s="1"/>
    </row>
    <row r="55" spans="1:26" ht="13.5" customHeight="1" x14ac:dyDescent="0.2">
      <c r="A55" s="156" t="s">
        <v>46</v>
      </c>
      <c r="B55" s="157"/>
      <c r="C55" s="157"/>
      <c r="D55" s="157"/>
      <c r="E55" s="157"/>
      <c r="F55" s="158"/>
      <c r="G55" s="1"/>
      <c r="H55" s="1"/>
      <c r="I55" s="1"/>
      <c r="J55" s="1"/>
      <c r="K55" s="1"/>
      <c r="L55" s="1"/>
      <c r="M55" s="1"/>
      <c r="N55" s="1"/>
      <c r="O55" s="1"/>
      <c r="P55" s="1"/>
      <c r="Q55" s="1"/>
      <c r="R55" s="1"/>
      <c r="S55" s="1"/>
      <c r="T55" s="1"/>
      <c r="U55" s="1"/>
      <c r="V55" s="1"/>
      <c r="W55" s="1"/>
      <c r="X55" s="1"/>
      <c r="Y55" s="1"/>
      <c r="Z55" s="1"/>
    </row>
    <row r="56" spans="1:26" ht="13.5" customHeight="1" x14ac:dyDescent="0.2">
      <c r="A56" s="156" t="s">
        <v>47</v>
      </c>
      <c r="B56" s="157"/>
      <c r="C56" s="157"/>
      <c r="D56" s="157"/>
      <c r="E56" s="157"/>
      <c r="F56" s="158"/>
      <c r="G56" s="1"/>
      <c r="H56" s="1"/>
      <c r="I56" s="1"/>
      <c r="J56" s="1"/>
      <c r="K56" s="1"/>
      <c r="L56" s="1"/>
      <c r="M56" s="1"/>
      <c r="N56" s="1"/>
      <c r="O56" s="1"/>
      <c r="P56" s="1"/>
      <c r="Q56" s="1"/>
      <c r="R56" s="1"/>
      <c r="S56" s="1"/>
      <c r="T56" s="1"/>
      <c r="U56" s="1"/>
      <c r="V56" s="1"/>
      <c r="W56" s="1"/>
      <c r="X56" s="1"/>
      <c r="Y56" s="1"/>
      <c r="Z56" s="1"/>
    </row>
    <row r="57" spans="1:26" ht="13.5" customHeight="1" x14ac:dyDescent="0.2">
      <c r="A57" s="156" t="s">
        <v>48</v>
      </c>
      <c r="B57" s="157"/>
      <c r="C57" s="157"/>
      <c r="D57" s="157"/>
      <c r="E57" s="157"/>
      <c r="F57" s="158"/>
      <c r="G57" s="1"/>
      <c r="H57" s="1"/>
      <c r="I57" s="1"/>
      <c r="J57" s="1"/>
      <c r="K57" s="1"/>
      <c r="L57" s="1"/>
      <c r="M57" s="1"/>
      <c r="N57" s="1"/>
      <c r="O57" s="1"/>
      <c r="P57" s="1"/>
      <c r="Q57" s="1"/>
      <c r="R57" s="1"/>
      <c r="S57" s="1"/>
      <c r="T57" s="1"/>
      <c r="U57" s="1"/>
      <c r="V57" s="1"/>
      <c r="W57" s="1"/>
      <c r="X57" s="1"/>
      <c r="Y57" s="1"/>
      <c r="Z57" s="1"/>
    </row>
    <row r="58" spans="1:26" ht="13.5" customHeight="1" x14ac:dyDescent="0.2">
      <c r="A58" s="204" t="s">
        <v>49</v>
      </c>
      <c r="B58" s="157"/>
      <c r="C58" s="157"/>
      <c r="D58" s="157"/>
      <c r="E58" s="157"/>
      <c r="F58" s="158"/>
      <c r="G58" s="1"/>
      <c r="H58" s="1"/>
      <c r="I58" s="1"/>
      <c r="J58" s="1"/>
      <c r="K58" s="1"/>
      <c r="L58" s="1"/>
      <c r="M58" s="1"/>
      <c r="N58" s="1"/>
      <c r="O58" s="1"/>
      <c r="P58" s="1"/>
      <c r="Q58" s="1"/>
      <c r="R58" s="1"/>
      <c r="S58" s="1"/>
      <c r="T58" s="1"/>
      <c r="U58" s="1"/>
      <c r="V58" s="1"/>
      <c r="W58" s="1"/>
      <c r="X58" s="1"/>
      <c r="Y58" s="1"/>
      <c r="Z58" s="1"/>
    </row>
    <row r="59" spans="1:26" ht="13.5" customHeight="1" x14ac:dyDescent="0.2">
      <c r="A59" s="156" t="s">
        <v>50</v>
      </c>
      <c r="B59" s="157"/>
      <c r="C59" s="157"/>
      <c r="D59" s="157"/>
      <c r="E59" s="157"/>
      <c r="F59" s="158"/>
      <c r="G59" s="1"/>
      <c r="H59" s="1"/>
      <c r="I59" s="1"/>
      <c r="J59" s="1"/>
      <c r="K59" s="1"/>
      <c r="L59" s="1"/>
      <c r="M59" s="1"/>
      <c r="N59" s="1"/>
      <c r="O59" s="1"/>
      <c r="P59" s="1"/>
      <c r="Q59" s="1"/>
      <c r="R59" s="1"/>
      <c r="S59" s="1"/>
      <c r="T59" s="1"/>
      <c r="U59" s="1"/>
      <c r="V59" s="1"/>
      <c r="W59" s="1"/>
      <c r="X59" s="1"/>
      <c r="Y59" s="1"/>
      <c r="Z59" s="1"/>
    </row>
    <row r="60" spans="1:26" ht="13.5" customHeight="1" x14ac:dyDescent="0.2">
      <c r="A60" s="156" t="s">
        <v>51</v>
      </c>
      <c r="B60" s="157"/>
      <c r="C60" s="157"/>
      <c r="D60" s="157"/>
      <c r="E60" s="157"/>
      <c r="F60" s="158"/>
      <c r="G60" s="1"/>
      <c r="H60" s="1"/>
      <c r="I60" s="1"/>
      <c r="J60" s="1"/>
      <c r="K60" s="1"/>
      <c r="L60" s="1"/>
      <c r="M60" s="1"/>
      <c r="N60" s="1"/>
      <c r="O60" s="1"/>
      <c r="P60" s="1"/>
      <c r="Q60" s="1"/>
      <c r="R60" s="1"/>
      <c r="S60" s="1"/>
      <c r="T60" s="1"/>
      <c r="U60" s="1"/>
      <c r="V60" s="1"/>
      <c r="W60" s="1"/>
      <c r="X60" s="1"/>
      <c r="Y60" s="1"/>
      <c r="Z60" s="1"/>
    </row>
    <row r="61" spans="1:26" ht="13.5" customHeight="1" x14ac:dyDescent="0.2">
      <c r="A61" s="200"/>
      <c r="B61" s="157"/>
      <c r="C61" s="157"/>
      <c r="D61" s="157"/>
      <c r="E61" s="157"/>
      <c r="F61" s="158"/>
      <c r="G61" s="1"/>
      <c r="H61" s="1"/>
      <c r="I61" s="1"/>
      <c r="J61" s="1"/>
      <c r="K61" s="1"/>
      <c r="L61" s="1"/>
      <c r="M61" s="1"/>
      <c r="N61" s="1"/>
      <c r="O61" s="1"/>
      <c r="P61" s="1"/>
      <c r="Q61" s="1"/>
      <c r="R61" s="1"/>
      <c r="S61" s="1"/>
      <c r="T61" s="1"/>
      <c r="U61" s="1"/>
      <c r="V61" s="1"/>
      <c r="W61" s="1"/>
      <c r="X61" s="1"/>
      <c r="Y61" s="1"/>
      <c r="Z61" s="1"/>
    </row>
    <row r="62" spans="1:26" ht="13.5" customHeight="1" x14ac:dyDescent="0.2">
      <c r="A62" s="196" t="s">
        <v>52</v>
      </c>
      <c r="B62" s="157"/>
      <c r="C62" s="157"/>
      <c r="D62" s="157"/>
      <c r="E62" s="157"/>
      <c r="F62" s="158"/>
      <c r="G62" s="1"/>
      <c r="H62" s="1"/>
      <c r="I62" s="1"/>
      <c r="J62" s="1"/>
      <c r="K62" s="1"/>
      <c r="L62" s="1"/>
      <c r="M62" s="1"/>
      <c r="N62" s="1"/>
      <c r="O62" s="1"/>
      <c r="P62" s="1"/>
      <c r="Q62" s="1"/>
      <c r="R62" s="1"/>
      <c r="S62" s="1"/>
      <c r="T62" s="1"/>
      <c r="U62" s="1"/>
      <c r="V62" s="1"/>
      <c r="W62" s="1"/>
      <c r="X62" s="1"/>
      <c r="Y62" s="1"/>
      <c r="Z62" s="1"/>
    </row>
    <row r="63" spans="1:26" ht="13.5" customHeight="1" x14ac:dyDescent="0.2">
      <c r="A63" s="156" t="s">
        <v>53</v>
      </c>
      <c r="B63" s="157"/>
      <c r="C63" s="157"/>
      <c r="D63" s="157"/>
      <c r="E63" s="157"/>
      <c r="F63" s="158"/>
      <c r="G63" s="1"/>
      <c r="H63" s="1"/>
      <c r="I63" s="1"/>
      <c r="J63" s="1"/>
      <c r="K63" s="1"/>
      <c r="L63" s="1"/>
      <c r="M63" s="1"/>
      <c r="N63" s="1"/>
      <c r="O63" s="1"/>
      <c r="P63" s="1"/>
      <c r="Q63" s="1"/>
      <c r="R63" s="1"/>
      <c r="S63" s="1"/>
      <c r="T63" s="1"/>
      <c r="U63" s="1"/>
      <c r="V63" s="1"/>
      <c r="W63" s="1"/>
      <c r="X63" s="1"/>
      <c r="Y63" s="1"/>
      <c r="Z63" s="1"/>
    </row>
    <row r="64" spans="1:26" ht="13.5" customHeight="1" x14ac:dyDescent="0.2">
      <c r="A64" s="156" t="s">
        <v>54</v>
      </c>
      <c r="B64" s="157"/>
      <c r="C64" s="157"/>
      <c r="D64" s="157"/>
      <c r="E64" s="157"/>
      <c r="F64" s="158"/>
      <c r="G64" s="1"/>
      <c r="H64" s="1"/>
      <c r="I64" s="1"/>
      <c r="J64" s="1"/>
      <c r="K64" s="1"/>
      <c r="L64" s="1"/>
      <c r="M64" s="1"/>
      <c r="N64" s="1"/>
      <c r="O64" s="1"/>
      <c r="P64" s="1"/>
      <c r="Q64" s="1"/>
      <c r="R64" s="1"/>
      <c r="S64" s="1"/>
      <c r="T64" s="1"/>
      <c r="U64" s="1"/>
      <c r="V64" s="1"/>
      <c r="W64" s="1"/>
      <c r="X64" s="1"/>
      <c r="Y64" s="1"/>
      <c r="Z64" s="1"/>
    </row>
    <row r="65" spans="1:26" ht="13.5" customHeight="1" x14ac:dyDescent="0.2">
      <c r="A65" s="156" t="s">
        <v>55</v>
      </c>
      <c r="B65" s="157"/>
      <c r="C65" s="157"/>
      <c r="D65" s="157"/>
      <c r="E65" s="157"/>
      <c r="F65" s="158"/>
      <c r="G65" s="1"/>
      <c r="H65" s="1"/>
      <c r="I65" s="1"/>
      <c r="J65" s="1"/>
      <c r="K65" s="1"/>
      <c r="L65" s="1"/>
      <c r="M65" s="1"/>
      <c r="N65" s="1"/>
      <c r="O65" s="1"/>
      <c r="P65" s="1"/>
      <c r="Q65" s="1"/>
      <c r="R65" s="1"/>
      <c r="S65" s="1"/>
      <c r="T65" s="1"/>
      <c r="U65" s="1"/>
      <c r="V65" s="1"/>
      <c r="W65" s="1"/>
      <c r="X65" s="1"/>
      <c r="Y65" s="1"/>
      <c r="Z65" s="1"/>
    </row>
    <row r="66" spans="1:26" ht="13.5" customHeight="1" x14ac:dyDescent="0.2">
      <c r="A66" s="156" t="s">
        <v>56</v>
      </c>
      <c r="B66" s="157"/>
      <c r="C66" s="157"/>
      <c r="D66" s="157"/>
      <c r="E66" s="157"/>
      <c r="F66" s="158"/>
      <c r="G66" s="1"/>
      <c r="H66" s="1"/>
      <c r="I66" s="1"/>
      <c r="J66" s="1"/>
      <c r="K66" s="1"/>
      <c r="L66" s="1"/>
      <c r="M66" s="1"/>
      <c r="N66" s="1"/>
      <c r="O66" s="1"/>
      <c r="P66" s="1"/>
      <c r="Q66" s="1"/>
      <c r="R66" s="1"/>
      <c r="S66" s="1"/>
      <c r="T66" s="1"/>
      <c r="U66" s="1"/>
      <c r="V66" s="1"/>
      <c r="W66" s="1"/>
      <c r="X66" s="1"/>
      <c r="Y66" s="1"/>
      <c r="Z66" s="1"/>
    </row>
    <row r="67" spans="1:26" ht="13.5" customHeight="1" x14ac:dyDescent="0.2">
      <c r="A67" s="156" t="s">
        <v>57</v>
      </c>
      <c r="B67" s="157"/>
      <c r="C67" s="157"/>
      <c r="D67" s="157"/>
      <c r="E67" s="157"/>
      <c r="F67" s="158"/>
      <c r="G67" s="1"/>
      <c r="H67" s="1"/>
      <c r="I67" s="1"/>
      <c r="J67" s="1"/>
      <c r="K67" s="1"/>
      <c r="L67" s="1"/>
      <c r="M67" s="1"/>
      <c r="N67" s="1"/>
      <c r="O67" s="1"/>
      <c r="P67" s="1"/>
      <c r="Q67" s="1"/>
      <c r="R67" s="1"/>
      <c r="S67" s="1"/>
      <c r="T67" s="1"/>
      <c r="U67" s="1"/>
      <c r="V67" s="1"/>
      <c r="W67" s="1"/>
      <c r="X67" s="1"/>
      <c r="Y67" s="1"/>
      <c r="Z67" s="1"/>
    </row>
    <row r="68" spans="1:26" ht="13.5" customHeight="1" x14ac:dyDescent="0.2">
      <c r="A68" s="156" t="s">
        <v>58</v>
      </c>
      <c r="B68" s="157"/>
      <c r="C68" s="157"/>
      <c r="D68" s="157"/>
      <c r="E68" s="157"/>
      <c r="F68" s="158"/>
      <c r="G68" s="1"/>
      <c r="H68" s="1"/>
      <c r="I68" s="1"/>
      <c r="J68" s="1"/>
      <c r="K68" s="1"/>
      <c r="L68" s="1"/>
      <c r="M68" s="1"/>
      <c r="N68" s="1"/>
      <c r="O68" s="1"/>
      <c r="P68" s="1"/>
      <c r="Q68" s="1"/>
      <c r="R68" s="1"/>
      <c r="S68" s="1"/>
      <c r="T68" s="1"/>
      <c r="U68" s="1"/>
      <c r="V68" s="1"/>
      <c r="W68" s="1"/>
      <c r="X68" s="1"/>
      <c r="Y68" s="1"/>
      <c r="Z68" s="1"/>
    </row>
    <row r="69" spans="1:26" ht="13.5" customHeight="1" x14ac:dyDescent="0.2">
      <c r="A69" s="156" t="s">
        <v>59</v>
      </c>
      <c r="B69" s="157"/>
      <c r="C69" s="157"/>
      <c r="D69" s="157"/>
      <c r="E69" s="157"/>
      <c r="F69" s="158"/>
      <c r="G69" s="1"/>
      <c r="H69" s="1"/>
      <c r="I69" s="1"/>
      <c r="J69" s="1"/>
      <c r="K69" s="1"/>
      <c r="L69" s="1"/>
      <c r="M69" s="1"/>
      <c r="N69" s="1"/>
      <c r="O69" s="1"/>
      <c r="P69" s="1"/>
      <c r="Q69" s="1"/>
      <c r="R69" s="1"/>
      <c r="S69" s="1"/>
      <c r="T69" s="1"/>
      <c r="U69" s="1"/>
      <c r="V69" s="1"/>
      <c r="W69" s="1"/>
      <c r="X69" s="1"/>
      <c r="Y69" s="1"/>
      <c r="Z69" s="1"/>
    </row>
    <row r="70" spans="1:26" ht="13.5" customHeight="1" x14ac:dyDescent="0.2">
      <c r="A70" s="200"/>
      <c r="B70" s="157"/>
      <c r="C70" s="157"/>
      <c r="D70" s="157"/>
      <c r="E70" s="157"/>
      <c r="F70" s="158"/>
      <c r="G70" s="1"/>
      <c r="H70" s="1"/>
      <c r="I70" s="1"/>
      <c r="J70" s="1"/>
      <c r="K70" s="1"/>
      <c r="L70" s="1"/>
      <c r="M70" s="1"/>
      <c r="N70" s="1"/>
      <c r="O70" s="1"/>
      <c r="P70" s="1"/>
      <c r="Q70" s="1"/>
      <c r="R70" s="1"/>
      <c r="S70" s="1"/>
      <c r="T70" s="1"/>
      <c r="U70" s="1"/>
      <c r="V70" s="1"/>
      <c r="W70" s="1"/>
      <c r="X70" s="1"/>
      <c r="Y70" s="1"/>
      <c r="Z70" s="1"/>
    </row>
    <row r="71" spans="1:26" ht="13.5" customHeight="1" x14ac:dyDescent="0.2">
      <c r="A71" s="196" t="s">
        <v>60</v>
      </c>
      <c r="B71" s="157"/>
      <c r="C71" s="157"/>
      <c r="D71" s="157"/>
      <c r="E71" s="157"/>
      <c r="F71" s="158"/>
      <c r="G71" s="1"/>
      <c r="H71" s="1"/>
      <c r="I71" s="1"/>
      <c r="J71" s="1"/>
      <c r="K71" s="1"/>
      <c r="L71" s="1"/>
      <c r="M71" s="1"/>
      <c r="N71" s="1"/>
      <c r="O71" s="1"/>
      <c r="P71" s="1"/>
      <c r="Q71" s="1"/>
      <c r="R71" s="1"/>
      <c r="S71" s="1"/>
      <c r="T71" s="1"/>
      <c r="U71" s="1"/>
      <c r="V71" s="1"/>
      <c r="W71" s="1"/>
      <c r="X71" s="1"/>
      <c r="Y71" s="1"/>
      <c r="Z71" s="1"/>
    </row>
    <row r="72" spans="1:26" ht="13.5" customHeight="1" x14ac:dyDescent="0.2">
      <c r="A72" s="156" t="s">
        <v>61</v>
      </c>
      <c r="B72" s="157"/>
      <c r="C72" s="157"/>
      <c r="D72" s="157"/>
      <c r="E72" s="157"/>
      <c r="F72" s="158"/>
      <c r="G72" s="1"/>
      <c r="H72" s="1"/>
      <c r="I72" s="1"/>
      <c r="J72" s="1"/>
      <c r="K72" s="1"/>
      <c r="L72" s="1"/>
      <c r="M72" s="1"/>
      <c r="N72" s="1"/>
      <c r="O72" s="1"/>
      <c r="P72" s="1"/>
      <c r="Q72" s="1"/>
      <c r="R72" s="1"/>
      <c r="S72" s="1"/>
      <c r="T72" s="1"/>
      <c r="U72" s="1"/>
      <c r="V72" s="1"/>
      <c r="W72" s="1"/>
      <c r="X72" s="1"/>
      <c r="Y72" s="1"/>
      <c r="Z72" s="1"/>
    </row>
    <row r="73" spans="1:26" ht="13.5" customHeight="1" x14ac:dyDescent="0.2">
      <c r="A73" s="156" t="s">
        <v>62</v>
      </c>
      <c r="B73" s="157"/>
      <c r="C73" s="157"/>
      <c r="D73" s="157"/>
      <c r="E73" s="157"/>
      <c r="F73" s="158"/>
      <c r="G73" s="1"/>
      <c r="H73" s="1"/>
      <c r="I73" s="1"/>
      <c r="J73" s="1"/>
      <c r="K73" s="1"/>
      <c r="L73" s="1"/>
      <c r="M73" s="1"/>
      <c r="N73" s="1"/>
      <c r="O73" s="1"/>
      <c r="P73" s="1"/>
      <c r="Q73" s="1"/>
      <c r="R73" s="1"/>
      <c r="S73" s="1"/>
      <c r="T73" s="1"/>
      <c r="U73" s="1"/>
      <c r="V73" s="1"/>
      <c r="W73" s="1"/>
      <c r="X73" s="1"/>
      <c r="Y73" s="1"/>
      <c r="Z73" s="1"/>
    </row>
    <row r="74" spans="1:26" ht="13.5" customHeight="1" x14ac:dyDescent="0.2">
      <c r="A74" s="156" t="s">
        <v>63</v>
      </c>
      <c r="B74" s="157"/>
      <c r="C74" s="157"/>
      <c r="D74" s="157"/>
      <c r="E74" s="157"/>
      <c r="F74" s="158"/>
      <c r="G74" s="1"/>
      <c r="H74" s="1"/>
      <c r="I74" s="1"/>
      <c r="J74" s="1"/>
      <c r="K74" s="1"/>
      <c r="L74" s="1"/>
      <c r="M74" s="1"/>
      <c r="N74" s="1"/>
      <c r="O74" s="1"/>
      <c r="P74" s="1"/>
      <c r="Q74" s="1"/>
      <c r="R74" s="1"/>
      <c r="S74" s="1"/>
      <c r="T74" s="1"/>
      <c r="U74" s="1"/>
      <c r="V74" s="1"/>
      <c r="W74" s="1"/>
      <c r="X74" s="1"/>
      <c r="Y74" s="1"/>
      <c r="Z74" s="1"/>
    </row>
    <row r="75" spans="1:26" ht="13.5" customHeight="1" x14ac:dyDescent="0.2">
      <c r="A75" s="156" t="s">
        <v>64</v>
      </c>
      <c r="B75" s="157"/>
      <c r="C75" s="157"/>
      <c r="D75" s="157"/>
      <c r="E75" s="157"/>
      <c r="F75" s="158"/>
      <c r="G75" s="1"/>
      <c r="H75" s="1"/>
      <c r="I75" s="1"/>
      <c r="J75" s="1"/>
      <c r="K75" s="1"/>
      <c r="L75" s="1"/>
      <c r="M75" s="1"/>
      <c r="N75" s="1"/>
      <c r="O75" s="1"/>
      <c r="P75" s="1"/>
      <c r="Q75" s="1"/>
      <c r="R75" s="1"/>
      <c r="S75" s="1"/>
      <c r="T75" s="1"/>
      <c r="U75" s="1"/>
      <c r="V75" s="1"/>
      <c r="W75" s="1"/>
      <c r="X75" s="1"/>
      <c r="Y75" s="1"/>
      <c r="Z75" s="1"/>
    </row>
    <row r="76" spans="1:26" ht="13.5" customHeight="1" x14ac:dyDescent="0.2">
      <c r="A76" s="156" t="s">
        <v>65</v>
      </c>
      <c r="B76" s="157"/>
      <c r="C76" s="157"/>
      <c r="D76" s="157"/>
      <c r="E76" s="157"/>
      <c r="F76" s="158"/>
      <c r="G76" s="1"/>
      <c r="H76" s="1"/>
      <c r="I76" s="1"/>
      <c r="J76" s="1"/>
      <c r="K76" s="1"/>
      <c r="L76" s="1"/>
      <c r="M76" s="1"/>
      <c r="N76" s="1"/>
      <c r="O76" s="1"/>
      <c r="P76" s="1"/>
      <c r="Q76" s="1"/>
      <c r="R76" s="1"/>
      <c r="S76" s="1"/>
      <c r="T76" s="1"/>
      <c r="U76" s="1"/>
      <c r="V76" s="1"/>
      <c r="W76" s="1"/>
      <c r="X76" s="1"/>
      <c r="Y76" s="1"/>
      <c r="Z76" s="1"/>
    </row>
    <row r="77" spans="1:26" ht="13.5" customHeight="1" x14ac:dyDescent="0.2">
      <c r="A77" s="156" t="s">
        <v>66</v>
      </c>
      <c r="B77" s="157"/>
      <c r="C77" s="157"/>
      <c r="D77" s="157"/>
      <c r="E77" s="157"/>
      <c r="F77" s="158"/>
      <c r="G77" s="1"/>
      <c r="H77" s="1"/>
      <c r="I77" s="1"/>
      <c r="J77" s="1"/>
      <c r="K77" s="1"/>
      <c r="L77" s="1"/>
      <c r="M77" s="1"/>
      <c r="N77" s="1"/>
      <c r="O77" s="1"/>
      <c r="P77" s="1"/>
      <c r="Q77" s="1"/>
      <c r="R77" s="1"/>
      <c r="S77" s="1"/>
      <c r="T77" s="1"/>
      <c r="U77" s="1"/>
      <c r="V77" s="1"/>
      <c r="W77" s="1"/>
      <c r="X77" s="1"/>
      <c r="Y77" s="1"/>
      <c r="Z77" s="1"/>
    </row>
    <row r="78" spans="1:26" ht="13.5" customHeight="1" x14ac:dyDescent="0.2">
      <c r="A78" s="156" t="s">
        <v>67</v>
      </c>
      <c r="B78" s="157"/>
      <c r="C78" s="157"/>
      <c r="D78" s="157"/>
      <c r="E78" s="157"/>
      <c r="F78" s="158"/>
      <c r="G78" s="1"/>
      <c r="H78" s="1"/>
      <c r="I78" s="1"/>
      <c r="J78" s="1"/>
      <c r="K78" s="1"/>
      <c r="L78" s="1"/>
      <c r="M78" s="1"/>
      <c r="N78" s="1"/>
      <c r="O78" s="1"/>
      <c r="P78" s="1"/>
      <c r="Q78" s="1"/>
      <c r="R78" s="1"/>
      <c r="S78" s="1"/>
      <c r="T78" s="1"/>
      <c r="U78" s="1"/>
      <c r="V78" s="1"/>
      <c r="W78" s="1"/>
      <c r="X78" s="1"/>
      <c r="Y78" s="1"/>
      <c r="Z78" s="1"/>
    </row>
    <row r="79" spans="1:26" ht="15" customHeight="1" x14ac:dyDescent="0.2">
      <c r="A79" s="197" t="s">
        <v>68</v>
      </c>
      <c r="B79" s="157"/>
      <c r="C79" s="157"/>
      <c r="D79" s="157"/>
      <c r="E79" s="157"/>
      <c r="F79" s="158"/>
      <c r="G79" s="1"/>
      <c r="H79" s="1"/>
      <c r="I79" s="1"/>
      <c r="J79" s="1"/>
      <c r="K79" s="1"/>
      <c r="L79" s="1"/>
      <c r="M79" s="1"/>
      <c r="N79" s="1"/>
      <c r="O79" s="1"/>
      <c r="P79" s="1"/>
      <c r="Q79" s="1"/>
      <c r="R79" s="1"/>
      <c r="S79" s="1"/>
      <c r="T79" s="1"/>
      <c r="U79" s="1"/>
      <c r="V79" s="1"/>
      <c r="W79" s="1"/>
      <c r="X79" s="1"/>
      <c r="Y79" s="1"/>
      <c r="Z79" s="1"/>
    </row>
    <row r="80" spans="1:26" ht="15" customHeight="1" x14ac:dyDescent="0.2">
      <c r="A80" s="198" t="s">
        <v>69</v>
      </c>
      <c r="B80" s="157"/>
      <c r="C80" s="157"/>
      <c r="D80" s="157"/>
      <c r="E80" s="157"/>
      <c r="F80" s="158"/>
      <c r="G80" s="1"/>
      <c r="H80" s="1"/>
      <c r="I80" s="1"/>
      <c r="J80" s="1"/>
      <c r="K80" s="1"/>
      <c r="L80" s="1"/>
      <c r="M80" s="1"/>
      <c r="N80" s="1"/>
      <c r="O80" s="1"/>
      <c r="P80" s="1"/>
      <c r="Q80" s="1"/>
      <c r="R80" s="1"/>
      <c r="S80" s="1"/>
      <c r="T80" s="1"/>
      <c r="U80" s="1"/>
      <c r="V80" s="1"/>
      <c r="W80" s="1"/>
      <c r="X80" s="1"/>
      <c r="Y80" s="1"/>
      <c r="Z80" s="1"/>
    </row>
    <row r="81" spans="1:26" ht="13.5" customHeight="1" x14ac:dyDescent="0.2">
      <c r="A81" s="198"/>
      <c r="B81" s="157"/>
      <c r="C81" s="157"/>
      <c r="D81" s="157"/>
      <c r="E81" s="157"/>
      <c r="F81" s="158"/>
      <c r="G81" s="1"/>
      <c r="H81" s="1"/>
      <c r="I81" s="1"/>
      <c r="J81" s="1"/>
      <c r="K81" s="1"/>
      <c r="L81" s="1"/>
      <c r="M81" s="1"/>
      <c r="N81" s="1"/>
      <c r="O81" s="1"/>
      <c r="P81" s="1"/>
      <c r="Q81" s="1"/>
      <c r="R81" s="1"/>
      <c r="S81" s="1"/>
      <c r="T81" s="1"/>
      <c r="U81" s="1"/>
      <c r="V81" s="1"/>
      <c r="W81" s="1"/>
      <c r="X81" s="1"/>
      <c r="Y81" s="1"/>
      <c r="Z81" s="1"/>
    </row>
    <row r="82" spans="1:26" ht="13.5" customHeight="1" x14ac:dyDescent="0.2">
      <c r="A82" s="199" t="s">
        <v>70</v>
      </c>
      <c r="B82" s="157"/>
      <c r="C82" s="157"/>
      <c r="D82" s="157"/>
      <c r="E82" s="157"/>
      <c r="F82" s="158"/>
      <c r="G82" s="1"/>
      <c r="H82" s="1"/>
      <c r="I82" s="1"/>
      <c r="J82" s="1"/>
      <c r="K82" s="1"/>
      <c r="L82" s="1"/>
      <c r="M82" s="1"/>
      <c r="N82" s="1"/>
      <c r="O82" s="1"/>
      <c r="P82" s="1"/>
      <c r="Q82" s="1"/>
      <c r="R82" s="1"/>
      <c r="S82" s="1"/>
      <c r="T82" s="1"/>
      <c r="U82" s="1"/>
      <c r="V82" s="1"/>
      <c r="W82" s="1"/>
      <c r="X82" s="1"/>
      <c r="Y82" s="1"/>
      <c r="Z82" s="1"/>
    </row>
    <row r="83" spans="1:26" ht="13.5" customHeight="1" x14ac:dyDescent="0.2">
      <c r="A83" s="197" t="s">
        <v>71</v>
      </c>
      <c r="B83" s="157"/>
      <c r="C83" s="157"/>
      <c r="D83" s="157"/>
      <c r="E83" s="157"/>
      <c r="F83" s="158"/>
      <c r="G83" s="1"/>
      <c r="H83" s="1"/>
      <c r="I83" s="1"/>
      <c r="J83" s="1"/>
      <c r="K83" s="1"/>
      <c r="L83" s="1"/>
      <c r="M83" s="1"/>
      <c r="N83" s="1"/>
      <c r="O83" s="1"/>
      <c r="P83" s="1"/>
      <c r="Q83" s="1"/>
      <c r="R83" s="1"/>
      <c r="S83" s="1"/>
      <c r="T83" s="1"/>
      <c r="U83" s="1"/>
      <c r="V83" s="1"/>
      <c r="W83" s="1"/>
      <c r="X83" s="1"/>
      <c r="Y83" s="1"/>
      <c r="Z83" s="1"/>
    </row>
    <row r="84" spans="1:26" ht="13.5" customHeight="1" x14ac:dyDescent="0.2">
      <c r="A84" s="197" t="s">
        <v>72</v>
      </c>
      <c r="B84" s="157"/>
      <c r="C84" s="157"/>
      <c r="D84" s="157"/>
      <c r="E84" s="157"/>
      <c r="F84" s="158"/>
      <c r="G84" s="1"/>
      <c r="H84" s="1"/>
      <c r="I84" s="1"/>
      <c r="J84" s="1"/>
      <c r="K84" s="1"/>
      <c r="L84" s="1"/>
      <c r="M84" s="1"/>
      <c r="N84" s="1"/>
      <c r="O84" s="1"/>
      <c r="P84" s="1"/>
      <c r="Q84" s="1"/>
      <c r="R84" s="1"/>
      <c r="S84" s="1"/>
      <c r="T84" s="1"/>
      <c r="U84" s="1"/>
      <c r="V84" s="1"/>
      <c r="W84" s="1"/>
      <c r="X84" s="1"/>
      <c r="Y84" s="1"/>
      <c r="Z84" s="1"/>
    </row>
    <row r="85" spans="1:26" ht="13.5" customHeight="1" x14ac:dyDescent="0.2">
      <c r="A85" s="197" t="s">
        <v>73</v>
      </c>
      <c r="B85" s="157"/>
      <c r="C85" s="157"/>
      <c r="D85" s="157"/>
      <c r="E85" s="157"/>
      <c r="F85" s="158"/>
      <c r="G85" s="1"/>
      <c r="H85" s="1"/>
      <c r="I85" s="1"/>
      <c r="J85" s="1"/>
      <c r="K85" s="1"/>
      <c r="L85" s="1"/>
      <c r="M85" s="1"/>
      <c r="N85" s="1"/>
      <c r="O85" s="1"/>
      <c r="P85" s="1"/>
      <c r="Q85" s="1"/>
      <c r="R85" s="1"/>
      <c r="S85" s="1"/>
      <c r="T85" s="1"/>
      <c r="U85" s="1"/>
      <c r="V85" s="1"/>
      <c r="W85" s="1"/>
      <c r="X85" s="1"/>
      <c r="Y85" s="1"/>
      <c r="Z85" s="1"/>
    </row>
    <row r="86" spans="1:26" ht="13.5" customHeight="1" x14ac:dyDescent="0.2">
      <c r="A86" s="197" t="s">
        <v>74</v>
      </c>
      <c r="B86" s="157"/>
      <c r="C86" s="157"/>
      <c r="D86" s="157"/>
      <c r="E86" s="157"/>
      <c r="F86" s="158"/>
      <c r="G86" s="1"/>
      <c r="H86" s="1"/>
      <c r="I86" s="1"/>
      <c r="J86" s="1"/>
      <c r="K86" s="1"/>
      <c r="L86" s="1"/>
      <c r="M86" s="1"/>
      <c r="N86" s="1"/>
      <c r="O86" s="1"/>
      <c r="P86" s="1"/>
      <c r="Q86" s="1"/>
      <c r="R86" s="1"/>
      <c r="S86" s="1"/>
      <c r="T86" s="1"/>
      <c r="U86" s="1"/>
      <c r="V86" s="1"/>
      <c r="W86" s="1"/>
      <c r="X86" s="1"/>
      <c r="Y86" s="1"/>
      <c r="Z86" s="1"/>
    </row>
    <row r="87" spans="1:26" ht="13.5" customHeight="1" x14ac:dyDescent="0.2">
      <c r="A87" s="197" t="s">
        <v>75</v>
      </c>
      <c r="B87" s="157"/>
      <c r="C87" s="157"/>
      <c r="D87" s="157"/>
      <c r="E87" s="157"/>
      <c r="F87" s="158"/>
      <c r="G87" s="1"/>
      <c r="H87" s="1"/>
      <c r="I87" s="1"/>
      <c r="J87" s="1"/>
      <c r="K87" s="1"/>
      <c r="L87" s="1"/>
      <c r="M87" s="1"/>
      <c r="N87" s="1"/>
      <c r="O87" s="1"/>
      <c r="P87" s="1"/>
      <c r="Q87" s="1"/>
      <c r="R87" s="1"/>
      <c r="S87" s="1"/>
      <c r="T87" s="1"/>
      <c r="U87" s="1"/>
      <c r="V87" s="1"/>
      <c r="W87" s="1"/>
      <c r="X87" s="1"/>
      <c r="Y87" s="1"/>
      <c r="Z87" s="1"/>
    </row>
    <row r="88" spans="1:26" ht="28.5" customHeight="1" x14ac:dyDescent="0.2">
      <c r="A88" s="196" t="s">
        <v>76</v>
      </c>
      <c r="B88" s="157"/>
      <c r="C88" s="157"/>
      <c r="D88" s="157"/>
      <c r="E88" s="157"/>
      <c r="F88" s="158"/>
      <c r="G88" s="37"/>
      <c r="H88" s="37"/>
      <c r="I88" s="38"/>
      <c r="J88" s="38"/>
      <c r="K88" s="38"/>
      <c r="L88" s="38"/>
      <c r="M88" s="38"/>
      <c r="N88" s="38"/>
      <c r="O88" s="1"/>
      <c r="P88" s="1"/>
      <c r="Q88" s="1"/>
      <c r="R88" s="1"/>
      <c r="S88" s="1"/>
      <c r="T88" s="1"/>
      <c r="U88" s="1"/>
      <c r="V88" s="1"/>
      <c r="W88" s="1"/>
      <c r="X88" s="1"/>
      <c r="Y88" s="1"/>
      <c r="Z88" s="1"/>
    </row>
    <row r="89" spans="1:26" ht="13.5" customHeight="1" x14ac:dyDescent="0.2">
      <c r="A89" s="156" t="s">
        <v>77</v>
      </c>
      <c r="B89" s="157"/>
      <c r="C89" s="157"/>
      <c r="D89" s="157"/>
      <c r="E89" s="157"/>
      <c r="F89" s="158"/>
      <c r="G89" s="37"/>
      <c r="H89" s="37"/>
      <c r="I89" s="37"/>
      <c r="J89" s="37"/>
      <c r="K89" s="37"/>
      <c r="L89" s="37"/>
      <c r="M89" s="37"/>
      <c r="N89" s="37"/>
      <c r="O89" s="1"/>
      <c r="P89" s="1"/>
      <c r="Q89" s="1"/>
      <c r="R89" s="1"/>
      <c r="S89" s="1"/>
      <c r="T89" s="1"/>
      <c r="U89" s="1"/>
      <c r="V89" s="1"/>
      <c r="W89" s="1"/>
      <c r="X89" s="1"/>
      <c r="Y89" s="1"/>
      <c r="Z89" s="1"/>
    </row>
    <row r="90" spans="1:26" ht="15" customHeight="1" x14ac:dyDescent="0.2">
      <c r="A90" s="156" t="s">
        <v>78</v>
      </c>
      <c r="B90" s="157"/>
      <c r="C90" s="157"/>
      <c r="D90" s="157"/>
      <c r="E90" s="157"/>
      <c r="F90" s="158"/>
      <c r="G90" s="1"/>
      <c r="H90" s="1"/>
      <c r="I90" s="1"/>
      <c r="J90" s="1"/>
      <c r="K90" s="1"/>
      <c r="L90" s="1"/>
      <c r="M90" s="1"/>
      <c r="N90" s="1"/>
      <c r="O90" s="1"/>
      <c r="P90" s="1"/>
      <c r="Q90" s="1"/>
      <c r="R90" s="1"/>
      <c r="S90" s="1"/>
      <c r="T90" s="1"/>
      <c r="U90" s="1"/>
      <c r="V90" s="1"/>
      <c r="W90" s="1"/>
      <c r="X90" s="1"/>
      <c r="Y90" s="1"/>
      <c r="Z90" s="1"/>
    </row>
    <row r="91" spans="1:26" ht="15" customHeight="1" x14ac:dyDescent="0.2">
      <c r="A91" s="156" t="s">
        <v>79</v>
      </c>
      <c r="B91" s="157"/>
      <c r="C91" s="157"/>
      <c r="D91" s="157"/>
      <c r="E91" s="157"/>
      <c r="F91" s="158"/>
      <c r="G91" s="1"/>
      <c r="H91" s="1"/>
      <c r="I91" s="1"/>
      <c r="J91" s="1"/>
      <c r="K91" s="1"/>
      <c r="L91" s="1"/>
      <c r="M91" s="1"/>
      <c r="N91" s="1"/>
      <c r="O91" s="1"/>
      <c r="P91" s="1"/>
      <c r="Q91" s="1"/>
      <c r="R91" s="1"/>
      <c r="S91" s="1"/>
      <c r="T91" s="1"/>
      <c r="U91" s="1"/>
      <c r="V91" s="1"/>
      <c r="W91" s="1"/>
      <c r="X91" s="1"/>
      <c r="Y91" s="1"/>
      <c r="Z91" s="1"/>
    </row>
    <row r="92" spans="1:26" ht="15" customHeight="1" x14ac:dyDescent="0.2">
      <c r="A92" s="156" t="s">
        <v>80</v>
      </c>
      <c r="B92" s="157"/>
      <c r="C92" s="157"/>
      <c r="D92" s="157"/>
      <c r="E92" s="157"/>
      <c r="F92" s="158"/>
      <c r="G92" s="39"/>
      <c r="H92" s="1"/>
      <c r="I92" s="1"/>
      <c r="J92" s="1"/>
      <c r="K92" s="1"/>
      <c r="L92" s="1"/>
      <c r="M92" s="1"/>
      <c r="N92" s="1"/>
      <c r="O92" s="1"/>
      <c r="P92" s="1"/>
      <c r="Q92" s="1"/>
      <c r="R92" s="1"/>
      <c r="S92" s="1"/>
      <c r="T92" s="1"/>
      <c r="U92" s="1"/>
      <c r="V92" s="1"/>
      <c r="W92" s="1"/>
      <c r="X92" s="1"/>
      <c r="Y92" s="1"/>
      <c r="Z92" s="1"/>
    </row>
    <row r="93" spans="1:26" ht="13.5" customHeight="1" x14ac:dyDescent="0.2">
      <c r="A93" s="36"/>
      <c r="B93" s="39"/>
      <c r="C93" s="39"/>
      <c r="D93" s="39"/>
      <c r="E93" s="39"/>
      <c r="F93" s="40"/>
      <c r="G93" s="39"/>
      <c r="H93" s="1"/>
      <c r="I93" s="1"/>
      <c r="J93" s="1"/>
      <c r="K93" s="1"/>
      <c r="L93" s="1"/>
      <c r="M93" s="1"/>
      <c r="N93" s="1"/>
      <c r="O93" s="1"/>
      <c r="P93" s="1"/>
      <c r="Q93" s="1"/>
      <c r="R93" s="1"/>
      <c r="S93" s="1"/>
      <c r="T93" s="1"/>
      <c r="U93" s="1"/>
      <c r="V93" s="1"/>
      <c r="W93" s="1"/>
      <c r="X93" s="1"/>
      <c r="Y93" s="1"/>
      <c r="Z93" s="1"/>
    </row>
    <row r="94" spans="1:26" ht="13.5" customHeight="1" x14ac:dyDescent="0.2">
      <c r="A94" s="196" t="s">
        <v>81</v>
      </c>
      <c r="B94" s="157"/>
      <c r="C94" s="157"/>
      <c r="D94" s="157"/>
      <c r="E94" s="157"/>
      <c r="F94" s="158"/>
      <c r="G94" s="1"/>
      <c r="H94" s="1"/>
      <c r="I94" s="1"/>
      <c r="J94" s="1"/>
      <c r="K94" s="1"/>
      <c r="L94" s="1"/>
      <c r="M94" s="1"/>
      <c r="N94" s="1"/>
      <c r="O94" s="1"/>
      <c r="P94" s="1"/>
      <c r="Q94" s="1"/>
      <c r="R94" s="1"/>
      <c r="S94" s="1"/>
      <c r="T94" s="1"/>
      <c r="U94" s="1"/>
      <c r="V94" s="1"/>
      <c r="W94" s="1"/>
      <c r="X94" s="1"/>
      <c r="Y94" s="1"/>
      <c r="Z94" s="1"/>
    </row>
    <row r="95" spans="1:26" ht="13.5" customHeight="1" x14ac:dyDescent="0.2">
      <c r="A95" s="156" t="s">
        <v>82</v>
      </c>
      <c r="B95" s="157"/>
      <c r="C95" s="157"/>
      <c r="D95" s="157"/>
      <c r="E95" s="157"/>
      <c r="F95" s="158"/>
      <c r="G95" s="1"/>
      <c r="H95" s="1"/>
      <c r="I95" s="1"/>
      <c r="J95" s="1"/>
      <c r="K95" s="1"/>
      <c r="L95" s="1"/>
      <c r="M95" s="1"/>
      <c r="N95" s="1"/>
      <c r="O95" s="1"/>
      <c r="P95" s="1"/>
      <c r="Q95" s="1"/>
      <c r="R95" s="1"/>
      <c r="S95" s="1"/>
      <c r="T95" s="1"/>
      <c r="U95" s="1"/>
      <c r="V95" s="1"/>
      <c r="W95" s="1"/>
      <c r="X95" s="1"/>
      <c r="Y95" s="1"/>
      <c r="Z95" s="1"/>
    </row>
    <row r="96" spans="1:26" ht="13.5" customHeight="1" x14ac:dyDescent="0.2">
      <c r="A96" s="156" t="s">
        <v>83</v>
      </c>
      <c r="B96" s="157"/>
      <c r="C96" s="157"/>
      <c r="D96" s="157"/>
      <c r="E96" s="157"/>
      <c r="F96" s="158"/>
      <c r="G96" s="1"/>
      <c r="H96" s="1"/>
      <c r="I96" s="1"/>
      <c r="J96" s="1"/>
      <c r="K96" s="1"/>
      <c r="L96" s="1"/>
      <c r="M96" s="1"/>
      <c r="N96" s="1"/>
      <c r="O96" s="1"/>
      <c r="P96" s="1"/>
      <c r="Q96" s="1"/>
      <c r="R96" s="1"/>
      <c r="S96" s="1"/>
      <c r="T96" s="1"/>
      <c r="U96" s="1"/>
      <c r="V96" s="1"/>
      <c r="W96" s="1"/>
      <c r="X96" s="1"/>
      <c r="Y96" s="1"/>
      <c r="Z96" s="1"/>
    </row>
    <row r="97" spans="1:26" ht="13.5" customHeight="1" x14ac:dyDescent="0.2">
      <c r="A97" s="156" t="s">
        <v>84</v>
      </c>
      <c r="B97" s="157"/>
      <c r="C97" s="157"/>
      <c r="D97" s="157"/>
      <c r="E97" s="157"/>
      <c r="F97" s="158"/>
      <c r="G97" s="1"/>
      <c r="H97" s="1"/>
      <c r="I97" s="1"/>
      <c r="J97" s="1"/>
      <c r="K97" s="1"/>
      <c r="L97" s="1"/>
      <c r="M97" s="1"/>
      <c r="N97" s="1"/>
      <c r="O97" s="1"/>
      <c r="P97" s="1"/>
      <c r="Q97" s="1"/>
      <c r="R97" s="1"/>
      <c r="S97" s="1"/>
      <c r="T97" s="1"/>
      <c r="U97" s="1"/>
      <c r="V97" s="1"/>
      <c r="W97" s="1"/>
      <c r="X97" s="1"/>
      <c r="Y97" s="1"/>
      <c r="Z97" s="1"/>
    </row>
    <row r="98" spans="1:26" ht="13.5" customHeight="1" x14ac:dyDescent="0.2">
      <c r="A98" s="190"/>
      <c r="B98" s="191"/>
      <c r="C98" s="191"/>
      <c r="D98" s="191"/>
      <c r="E98" s="191"/>
      <c r="F98" s="192"/>
      <c r="G98" s="1"/>
      <c r="H98" s="1"/>
      <c r="I98" s="1"/>
      <c r="J98" s="1"/>
      <c r="K98" s="1"/>
      <c r="L98" s="1"/>
      <c r="M98" s="1"/>
      <c r="N98" s="1"/>
      <c r="O98" s="1"/>
      <c r="P98" s="1"/>
      <c r="Q98" s="1"/>
      <c r="R98" s="1"/>
      <c r="S98" s="1"/>
      <c r="T98" s="1"/>
      <c r="U98" s="1"/>
      <c r="V98" s="1"/>
      <c r="W98" s="1"/>
      <c r="X98" s="1"/>
      <c r="Y98" s="1"/>
      <c r="Z98" s="1"/>
    </row>
    <row r="99" spans="1:26" ht="13.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2">
      <c r="A101" s="193" t="s">
        <v>85</v>
      </c>
      <c r="B101" s="194"/>
      <c r="C101" s="194"/>
      <c r="D101" s="194"/>
      <c r="E101" s="194"/>
      <c r="F101" s="195"/>
      <c r="G101" s="1"/>
      <c r="H101" s="1"/>
      <c r="I101" s="1"/>
      <c r="J101" s="1"/>
      <c r="K101" s="1"/>
      <c r="L101" s="1"/>
      <c r="M101" s="1"/>
      <c r="N101" s="1"/>
      <c r="O101" s="1"/>
      <c r="P101" s="1"/>
      <c r="Q101" s="1"/>
      <c r="R101" s="1"/>
      <c r="S101" s="1"/>
      <c r="T101" s="1"/>
      <c r="U101" s="1"/>
      <c r="V101" s="1"/>
      <c r="W101" s="1"/>
      <c r="X101" s="1"/>
      <c r="Y101" s="1"/>
      <c r="Z101" s="1"/>
    </row>
    <row r="102" spans="1:26" ht="150" customHeight="1" x14ac:dyDescent="0.2">
      <c r="A102" s="188" t="e">
        <f>VLOOKUP(E25,[1]Sheet3!A:B,2,FALSE)</f>
        <v>#N/A</v>
      </c>
      <c r="B102" s="183"/>
      <c r="C102" s="183"/>
      <c r="D102" s="183"/>
      <c r="E102" s="183"/>
      <c r="F102" s="189"/>
      <c r="G102" s="1"/>
      <c r="H102" s="1"/>
      <c r="I102" s="1"/>
      <c r="J102" s="1"/>
      <c r="K102" s="1"/>
      <c r="L102" s="1"/>
      <c r="M102" s="1"/>
      <c r="N102" s="1"/>
      <c r="O102" s="1"/>
      <c r="P102" s="1"/>
      <c r="Q102" s="1"/>
      <c r="R102" s="1"/>
      <c r="S102" s="1"/>
      <c r="T102" s="1"/>
      <c r="U102" s="1"/>
      <c r="V102" s="1"/>
      <c r="W102" s="1"/>
      <c r="X102" s="1"/>
      <c r="Y102" s="1"/>
      <c r="Z102" s="1"/>
    </row>
    <row r="103" spans="1:26" ht="174.75" customHeight="1" x14ac:dyDescent="0.2">
      <c r="A103" s="181" t="e">
        <f>VLOOKUP(E26,[1]Sheet3!A:B,2,FALSE)</f>
        <v>#N/A</v>
      </c>
      <c r="B103" s="162"/>
      <c r="C103" s="162"/>
      <c r="D103" s="162"/>
      <c r="E103" s="162"/>
      <c r="F103" s="160"/>
      <c r="G103" s="1"/>
      <c r="H103" s="1"/>
      <c r="I103" s="1"/>
      <c r="J103" s="1"/>
      <c r="K103" s="1"/>
      <c r="L103" s="1"/>
      <c r="M103" s="1"/>
      <c r="N103" s="1"/>
      <c r="O103" s="1"/>
      <c r="P103" s="1"/>
      <c r="Q103" s="1"/>
      <c r="R103" s="1"/>
      <c r="S103" s="1"/>
      <c r="T103" s="1"/>
      <c r="U103" s="1"/>
      <c r="V103" s="1"/>
      <c r="W103" s="1"/>
      <c r="X103" s="1"/>
      <c r="Y103" s="1"/>
      <c r="Z103" s="1"/>
    </row>
    <row r="104" spans="1:26" ht="174.75" customHeight="1" x14ac:dyDescent="0.2">
      <c r="A104" s="181" t="e">
        <f>VLOOKUP(E27,[1]Sheet3!A:B,2,FALSE)</f>
        <v>#N/A</v>
      </c>
      <c r="B104" s="162"/>
      <c r="C104" s="162"/>
      <c r="D104" s="162"/>
      <c r="E104" s="162"/>
      <c r="F104" s="160"/>
      <c r="G104" s="1"/>
      <c r="H104" s="1"/>
      <c r="I104" s="1"/>
      <c r="J104" s="1"/>
      <c r="K104" s="1"/>
      <c r="L104" s="1"/>
      <c r="M104" s="1"/>
      <c r="N104" s="1"/>
      <c r="O104" s="1"/>
      <c r="P104" s="1"/>
      <c r="Q104" s="1"/>
      <c r="R104" s="1"/>
      <c r="S104" s="1"/>
      <c r="T104" s="1"/>
      <c r="U104" s="1"/>
      <c r="V104" s="1"/>
      <c r="W104" s="1"/>
      <c r="X104" s="1"/>
      <c r="Y104" s="1"/>
      <c r="Z104" s="1"/>
    </row>
    <row r="105" spans="1:26" ht="174.75" customHeight="1" x14ac:dyDescent="0.2">
      <c r="A105" s="181" t="e">
        <f>VLOOKUP(E28,[1]Sheet3!A:B,2,FALSE)</f>
        <v>#N/A</v>
      </c>
      <c r="B105" s="162"/>
      <c r="C105" s="162"/>
      <c r="D105" s="162"/>
      <c r="E105" s="162"/>
      <c r="F105" s="160"/>
      <c r="G105" s="1"/>
      <c r="H105" s="1"/>
      <c r="I105" s="1"/>
      <c r="J105" s="1"/>
      <c r="K105" s="1"/>
      <c r="L105" s="1"/>
      <c r="M105" s="1"/>
      <c r="N105" s="1"/>
      <c r="O105" s="1"/>
      <c r="P105" s="1"/>
      <c r="Q105" s="1"/>
      <c r="R105" s="1"/>
      <c r="S105" s="1"/>
      <c r="T105" s="1"/>
      <c r="U105" s="1"/>
      <c r="V105" s="1"/>
      <c r="W105" s="1"/>
      <c r="X105" s="1"/>
      <c r="Y105" s="1"/>
      <c r="Z105" s="1"/>
    </row>
    <row r="106" spans="1:26" ht="174.75" customHeight="1" x14ac:dyDescent="0.2">
      <c r="A106" s="181" t="e">
        <f>VLOOKUP(E29,[1]Sheet3!A:B,2,FALSE)</f>
        <v>#N/A</v>
      </c>
      <c r="B106" s="162"/>
      <c r="C106" s="162"/>
      <c r="D106" s="162"/>
      <c r="E106" s="162"/>
      <c r="F106" s="160"/>
      <c r="G106" s="1"/>
      <c r="H106" s="1"/>
      <c r="I106" s="1"/>
      <c r="J106" s="1"/>
      <c r="K106" s="1"/>
      <c r="L106" s="1"/>
      <c r="M106" s="1"/>
      <c r="N106" s="1"/>
      <c r="O106" s="1"/>
      <c r="P106" s="1"/>
      <c r="Q106" s="1"/>
      <c r="R106" s="1"/>
      <c r="S106" s="1"/>
      <c r="T106" s="1"/>
      <c r="U106" s="1"/>
      <c r="V106" s="1"/>
      <c r="W106" s="1"/>
      <c r="X106" s="1"/>
      <c r="Y106" s="1"/>
      <c r="Z106" s="1"/>
    </row>
    <row r="107" spans="1:26" ht="174.75" customHeight="1" x14ac:dyDescent="0.2">
      <c r="A107" s="181" t="e">
        <f>VLOOKUP(E30,[1]Sheet3!A:B,2,FALSE)</f>
        <v>#N/A</v>
      </c>
      <c r="B107" s="162"/>
      <c r="C107" s="162"/>
      <c r="D107" s="162"/>
      <c r="E107" s="162"/>
      <c r="F107" s="160"/>
      <c r="G107" s="1"/>
      <c r="H107" s="1"/>
      <c r="I107" s="1"/>
      <c r="J107" s="1"/>
      <c r="K107" s="1"/>
      <c r="L107" s="1"/>
      <c r="M107" s="1"/>
      <c r="N107" s="1"/>
      <c r="O107" s="1"/>
      <c r="P107" s="1"/>
      <c r="Q107" s="1"/>
      <c r="R107" s="1"/>
      <c r="S107" s="1"/>
      <c r="T107" s="1"/>
      <c r="U107" s="1"/>
      <c r="V107" s="1"/>
      <c r="W107" s="1"/>
      <c r="X107" s="1"/>
      <c r="Y107" s="1"/>
      <c r="Z107" s="1"/>
    </row>
    <row r="108" spans="1:26" ht="174.75" customHeight="1" x14ac:dyDescent="0.2">
      <c r="A108" s="181" t="e">
        <f>VLOOKUP(E31,[1]Sheet3!A:B,2,FALSE)</f>
        <v>#N/A</v>
      </c>
      <c r="B108" s="162"/>
      <c r="C108" s="162"/>
      <c r="D108" s="162"/>
      <c r="E108" s="162"/>
      <c r="F108" s="160"/>
      <c r="G108" s="1"/>
      <c r="H108" s="1"/>
      <c r="I108" s="1"/>
      <c r="J108" s="1"/>
      <c r="K108" s="1"/>
      <c r="L108" s="1"/>
      <c r="M108" s="1"/>
      <c r="N108" s="1"/>
      <c r="O108" s="1"/>
      <c r="P108" s="1"/>
      <c r="Q108" s="1"/>
      <c r="R108" s="1"/>
      <c r="S108" s="1"/>
      <c r="T108" s="1"/>
      <c r="U108" s="1"/>
      <c r="V108" s="1"/>
      <c r="W108" s="1"/>
      <c r="X108" s="1"/>
      <c r="Y108" s="1"/>
      <c r="Z108" s="1"/>
    </row>
    <row r="109" spans="1:26" ht="174.75" customHeight="1" x14ac:dyDescent="0.2">
      <c r="A109" s="181" t="e">
        <f>VLOOKUP(E32,[1]Sheet3!A:B,2,FALSE)</f>
        <v>#N/A</v>
      </c>
      <c r="B109" s="162"/>
      <c r="C109" s="162"/>
      <c r="D109" s="162"/>
      <c r="E109" s="162"/>
      <c r="F109" s="160"/>
      <c r="G109" s="1"/>
      <c r="H109" s="1"/>
      <c r="I109" s="1"/>
      <c r="J109" s="1"/>
      <c r="K109" s="1"/>
      <c r="L109" s="1"/>
      <c r="M109" s="1"/>
      <c r="N109" s="1"/>
      <c r="O109" s="1"/>
      <c r="P109" s="1"/>
      <c r="Q109" s="1"/>
      <c r="R109" s="1"/>
      <c r="S109" s="1"/>
      <c r="T109" s="1"/>
      <c r="U109" s="1"/>
      <c r="V109" s="1"/>
      <c r="W109" s="1"/>
      <c r="X109" s="1"/>
      <c r="Y109" s="1"/>
      <c r="Z109" s="1"/>
    </row>
    <row r="110" spans="1:26" ht="174.75" customHeight="1" x14ac:dyDescent="0.2">
      <c r="A110" s="181" t="e">
        <f>VLOOKUP(E33,[1]Sheet3!A:B,2,FALSE)</f>
        <v>#N/A</v>
      </c>
      <c r="B110" s="162"/>
      <c r="C110" s="162"/>
      <c r="D110" s="162"/>
      <c r="E110" s="162"/>
      <c r="F110" s="160"/>
      <c r="G110" s="1"/>
      <c r="H110" s="1"/>
      <c r="I110" s="1"/>
      <c r="J110" s="1"/>
      <c r="K110" s="1"/>
      <c r="L110" s="1"/>
      <c r="M110" s="1"/>
      <c r="N110" s="1"/>
      <c r="O110" s="1"/>
      <c r="P110" s="1"/>
      <c r="Q110" s="1"/>
      <c r="R110" s="1"/>
      <c r="S110" s="1"/>
      <c r="T110" s="1"/>
      <c r="U110" s="1"/>
      <c r="V110" s="1"/>
      <c r="W110" s="1"/>
      <c r="X110" s="1"/>
      <c r="Y110" s="1"/>
      <c r="Z110" s="1"/>
    </row>
    <row r="111" spans="1:26" ht="174.75" customHeight="1" x14ac:dyDescent="0.2">
      <c r="A111" s="181" t="e">
        <f>VLOOKUP(E34,[1]Sheet3!A:B,2,FALSE)</f>
        <v>#N/A</v>
      </c>
      <c r="B111" s="162"/>
      <c r="C111" s="162"/>
      <c r="D111" s="162"/>
      <c r="E111" s="162"/>
      <c r="F111" s="160"/>
      <c r="G111" s="1"/>
      <c r="H111" s="1"/>
      <c r="I111" s="1"/>
      <c r="J111" s="1"/>
      <c r="K111" s="1"/>
      <c r="L111" s="1"/>
      <c r="M111" s="1"/>
      <c r="N111" s="1"/>
      <c r="O111" s="1"/>
      <c r="P111" s="1"/>
      <c r="Q111" s="1"/>
      <c r="R111" s="1"/>
      <c r="S111" s="1"/>
      <c r="T111" s="1"/>
      <c r="U111" s="1"/>
      <c r="V111" s="1"/>
      <c r="W111" s="1"/>
      <c r="X111" s="1"/>
      <c r="Y111" s="1"/>
      <c r="Z111" s="1"/>
    </row>
    <row r="112" spans="1:26" ht="174.75" customHeight="1" x14ac:dyDescent="0.2">
      <c r="A112" s="181" t="e">
        <f>VLOOKUP(E35,[1]Sheet3!A:B,2,FALSE)</f>
        <v>#N/A</v>
      </c>
      <c r="B112" s="162"/>
      <c r="C112" s="162"/>
      <c r="D112" s="162"/>
      <c r="E112" s="162"/>
      <c r="F112" s="160"/>
      <c r="G112" s="1"/>
      <c r="H112" s="1"/>
      <c r="I112" s="1"/>
      <c r="J112" s="1"/>
      <c r="K112" s="1"/>
      <c r="L112" s="1"/>
      <c r="M112" s="1"/>
      <c r="N112" s="1"/>
      <c r="O112" s="1"/>
      <c r="P112" s="1"/>
      <c r="Q112" s="1"/>
      <c r="R112" s="1"/>
      <c r="S112" s="1"/>
      <c r="T112" s="1"/>
      <c r="U112" s="1"/>
      <c r="V112" s="1"/>
      <c r="W112" s="1"/>
      <c r="X112" s="1"/>
      <c r="Y112" s="1"/>
      <c r="Z112" s="1"/>
    </row>
    <row r="113" spans="1:26" ht="174.75" customHeight="1" x14ac:dyDescent="0.2">
      <c r="A113" s="181" t="e">
        <f>VLOOKUP(E36,[1]Sheet3!A:B,2,FALSE)</f>
        <v>#N/A</v>
      </c>
      <c r="B113" s="162"/>
      <c r="C113" s="162"/>
      <c r="D113" s="162"/>
      <c r="E113" s="162"/>
      <c r="F113" s="160"/>
      <c r="G113" s="1"/>
      <c r="H113" s="1"/>
      <c r="I113" s="1"/>
      <c r="J113" s="1"/>
      <c r="K113" s="1"/>
      <c r="L113" s="1"/>
      <c r="M113" s="1"/>
      <c r="N113" s="1"/>
      <c r="O113" s="1"/>
      <c r="P113" s="1"/>
      <c r="Q113" s="1"/>
      <c r="R113" s="1"/>
      <c r="S113" s="1"/>
      <c r="T113" s="1"/>
      <c r="U113" s="1"/>
      <c r="V113" s="1"/>
      <c r="W113" s="1"/>
      <c r="X113" s="1"/>
      <c r="Y113" s="1"/>
      <c r="Z113" s="1"/>
    </row>
    <row r="114" spans="1:26" ht="174.75" customHeight="1" x14ac:dyDescent="0.2">
      <c r="A114" s="181" t="e">
        <f>VLOOKUP(E37,[1]Sheet3!A:B,2,FALSE)</f>
        <v>#N/A</v>
      </c>
      <c r="B114" s="162"/>
      <c r="C114" s="162"/>
      <c r="D114" s="162"/>
      <c r="E114" s="162"/>
      <c r="F114" s="160"/>
      <c r="G114" s="1"/>
      <c r="H114" s="1"/>
      <c r="I114" s="1"/>
      <c r="J114" s="1"/>
      <c r="K114" s="1"/>
      <c r="L114" s="1"/>
      <c r="M114" s="1"/>
      <c r="N114" s="1"/>
      <c r="O114" s="1"/>
      <c r="P114" s="1"/>
      <c r="Q114" s="1"/>
      <c r="R114" s="1"/>
      <c r="S114" s="1"/>
      <c r="T114" s="1"/>
      <c r="U114" s="1"/>
      <c r="V114" s="1"/>
      <c r="W114" s="1"/>
      <c r="X114" s="1"/>
      <c r="Y114" s="1"/>
      <c r="Z114" s="1"/>
    </row>
    <row r="115" spans="1:26" ht="174.75" customHeight="1" x14ac:dyDescent="0.2">
      <c r="A115" s="181" t="e">
        <f>VLOOKUP(E38,[1]Sheet3!A:B,2,FALSE)</f>
        <v>#N/A</v>
      </c>
      <c r="B115" s="162"/>
      <c r="C115" s="162"/>
      <c r="D115" s="162"/>
      <c r="E115" s="162"/>
      <c r="F115" s="160"/>
      <c r="G115" s="1"/>
      <c r="H115" s="1"/>
      <c r="I115" s="1"/>
      <c r="J115" s="1"/>
      <c r="K115" s="1"/>
      <c r="L115" s="1"/>
      <c r="M115" s="1"/>
      <c r="N115" s="1"/>
      <c r="O115" s="1"/>
      <c r="P115" s="1"/>
      <c r="Q115" s="1"/>
      <c r="R115" s="1"/>
      <c r="S115" s="1"/>
      <c r="T115" s="1"/>
      <c r="U115" s="1"/>
      <c r="V115" s="1"/>
      <c r="W115" s="1"/>
      <c r="X115" s="1"/>
      <c r="Y115" s="1"/>
      <c r="Z115" s="1"/>
    </row>
    <row r="116" spans="1:26" ht="174.75" customHeight="1" x14ac:dyDescent="0.2">
      <c r="A116" s="181" t="e">
        <f>VLOOKUP(E39,[1]Sheet3!A:B,2,FALSE)</f>
        <v>#N/A</v>
      </c>
      <c r="B116" s="162"/>
      <c r="C116" s="162"/>
      <c r="D116" s="162"/>
      <c r="E116" s="162"/>
      <c r="F116" s="160"/>
      <c r="G116" s="1"/>
      <c r="H116" s="1"/>
      <c r="I116" s="1"/>
      <c r="J116" s="1"/>
      <c r="K116" s="1"/>
      <c r="L116" s="1"/>
      <c r="M116" s="1"/>
      <c r="N116" s="1"/>
      <c r="O116" s="1"/>
      <c r="P116" s="1"/>
      <c r="Q116" s="1"/>
      <c r="R116" s="1"/>
      <c r="S116" s="1"/>
      <c r="T116" s="1"/>
      <c r="U116" s="1"/>
      <c r="V116" s="1"/>
      <c r="W116" s="1"/>
      <c r="X116" s="1"/>
      <c r="Y116" s="1"/>
      <c r="Z116" s="1"/>
    </row>
    <row r="117" spans="1:26" ht="174.75" customHeight="1" x14ac:dyDescent="0.2">
      <c r="A117" s="181" t="e">
        <f>VLOOKUP(E40,[1]Sheet3!A:B,2,FALSE)</f>
        <v>#N/A</v>
      </c>
      <c r="B117" s="162"/>
      <c r="C117" s="162"/>
      <c r="D117" s="162"/>
      <c r="E117" s="162"/>
      <c r="F117" s="160"/>
      <c r="G117" s="1"/>
      <c r="H117" s="1"/>
      <c r="I117" s="1"/>
      <c r="J117" s="1"/>
      <c r="K117" s="1"/>
      <c r="L117" s="1"/>
      <c r="M117" s="1"/>
      <c r="N117" s="1"/>
      <c r="O117" s="1"/>
      <c r="P117" s="1"/>
      <c r="Q117" s="1"/>
      <c r="R117" s="1"/>
      <c r="S117" s="1"/>
      <c r="T117" s="1"/>
      <c r="U117" s="1"/>
      <c r="V117" s="1"/>
      <c r="W117" s="1"/>
      <c r="X117" s="1"/>
      <c r="Y117" s="1"/>
      <c r="Z117" s="1"/>
    </row>
    <row r="118" spans="1:26" ht="174.75" customHeight="1" x14ac:dyDescent="0.2">
      <c r="A118" s="181" t="e">
        <f>VLOOKUP(E41,[1]Sheet3!A:B,2,FALSE)</f>
        <v>#N/A</v>
      </c>
      <c r="B118" s="162"/>
      <c r="C118" s="162"/>
      <c r="D118" s="162"/>
      <c r="E118" s="162"/>
      <c r="F118" s="160"/>
      <c r="G118" s="1"/>
      <c r="H118" s="1"/>
      <c r="I118" s="1"/>
      <c r="J118" s="1"/>
      <c r="K118" s="1"/>
      <c r="L118" s="1"/>
      <c r="M118" s="1"/>
      <c r="N118" s="1"/>
      <c r="O118" s="1"/>
      <c r="P118" s="1"/>
      <c r="Q118" s="1"/>
      <c r="R118" s="1"/>
      <c r="S118" s="1"/>
      <c r="T118" s="1"/>
      <c r="U118" s="1"/>
      <c r="V118" s="1"/>
      <c r="W118" s="1"/>
      <c r="X118" s="1"/>
      <c r="Y118" s="1"/>
      <c r="Z118" s="1"/>
    </row>
    <row r="119" spans="1:26" ht="13.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5" customHeight="1"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99">
    <mergeCell ref="B9:D9"/>
    <mergeCell ref="A66:F66"/>
    <mergeCell ref="A67:F67"/>
    <mergeCell ref="A68:F68"/>
    <mergeCell ref="A53:F53"/>
    <mergeCell ref="A54:F54"/>
    <mergeCell ref="A55:F55"/>
    <mergeCell ref="A56:F56"/>
    <mergeCell ref="A57:F57"/>
    <mergeCell ref="A58:F58"/>
    <mergeCell ref="A59:F59"/>
    <mergeCell ref="A60:F60"/>
    <mergeCell ref="A61:F61"/>
    <mergeCell ref="A62:F62"/>
    <mergeCell ref="A63:F63"/>
    <mergeCell ref="B13:D13"/>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4:F94"/>
    <mergeCell ref="A95:F95"/>
    <mergeCell ref="A96:F96"/>
    <mergeCell ref="A97:F97"/>
    <mergeCell ref="A98:F98"/>
    <mergeCell ref="A101:F101"/>
    <mergeCell ref="A102:F102"/>
    <mergeCell ref="A103:F103"/>
    <mergeCell ref="A116:F116"/>
    <mergeCell ref="A117:F117"/>
    <mergeCell ref="A118:F118"/>
    <mergeCell ref="A104:F104"/>
    <mergeCell ref="A105:F105"/>
    <mergeCell ref="A106:F106"/>
    <mergeCell ref="A107:F107"/>
    <mergeCell ref="A108:F108"/>
    <mergeCell ref="A109:F109"/>
    <mergeCell ref="A110:F110"/>
    <mergeCell ref="A111:F111"/>
    <mergeCell ref="A112:F112"/>
    <mergeCell ref="A113:F113"/>
    <mergeCell ref="A114:F114"/>
    <mergeCell ref="J24:K24"/>
    <mergeCell ref="A115:F115"/>
    <mergeCell ref="A2:F2"/>
    <mergeCell ref="B3:D3"/>
    <mergeCell ref="E3:F3"/>
    <mergeCell ref="B4:D4"/>
    <mergeCell ref="B5:D5"/>
    <mergeCell ref="E5:F5"/>
    <mergeCell ref="E6:F6"/>
    <mergeCell ref="B6:D6"/>
    <mergeCell ref="B7:D7"/>
    <mergeCell ref="B8:D8"/>
    <mergeCell ref="B10:D10"/>
    <mergeCell ref="B11:D11"/>
    <mergeCell ref="B12:D12"/>
    <mergeCell ref="E13:F13"/>
    <mergeCell ref="B14:D14"/>
    <mergeCell ref="B15:D15"/>
    <mergeCell ref="B16:D16"/>
    <mergeCell ref="B17:D17"/>
    <mergeCell ref="B18:D18"/>
    <mergeCell ref="E19:F19"/>
    <mergeCell ref="A47:F47"/>
    <mergeCell ref="A48:C48"/>
    <mergeCell ref="D48:F48"/>
    <mergeCell ref="B20:D20"/>
    <mergeCell ref="B21:D21"/>
    <mergeCell ref="B22:D22"/>
    <mergeCell ref="B23:D23"/>
    <mergeCell ref="B19:D19"/>
    <mergeCell ref="A64:F64"/>
    <mergeCell ref="A65:F65"/>
    <mergeCell ref="H48:I48"/>
    <mergeCell ref="A49:C49"/>
    <mergeCell ref="D49:F49"/>
    <mergeCell ref="A50:F50"/>
    <mergeCell ref="A52:F52"/>
  </mergeCells>
  <dataValidations count="2">
    <dataValidation type="list" allowBlank="1" sqref="D25:D46" xr:uid="{00000000-0002-0000-0000-000000000000}">
      <formula1>"Yes,No,----"</formula1>
    </dataValidation>
    <dataValidation type="list" allowBlank="1" sqref="A14:A18 A20:A23 A7:A12" xr:uid="{00000000-0002-0000-0000-000001000000}">
      <formula1>"HANOI,HALONG BAY,HO CHI MINH,DANANG,PHU QUOC,SIEM REAP,PHNOM PENH"</formula1>
    </dataValidation>
  </dataValidations>
  <printOptions horizontalCentered="1"/>
  <pageMargins left="0.7" right="0.7" top="0.75" bottom="0.75" header="0" footer="0"/>
  <pageSetup paperSize="5" orientation="portrait" r:id="rId1"/>
  <drawing r:id="rId2"/>
  <extLst>
    <ext xmlns:x14="http://schemas.microsoft.com/office/spreadsheetml/2009/9/main" uri="{CCE6A557-97BC-4b89-ADB6-D9C93CAAB3DF}">
      <x14:dataValidations xmlns:xm="http://schemas.microsoft.com/office/excel/2006/main" count="6">
        <x14:dataValidation type="list" allowBlank="1" xr:uid="{00000000-0002-0000-0000-000002000000}">
          <x14:formula1>
            <xm:f>Sheet2!$A$1:$A$94</xm:f>
          </x14:formula1>
          <xm:sqref>E25:E46</xm:sqref>
        </x14:dataValidation>
        <x14:dataValidation type="list" allowBlank="1" xr:uid="{00000000-0002-0000-0000-000003000000}">
          <x14:formula1>
            <xm:f>Sheet1!$F$1:$F$17</xm:f>
          </x14:formula1>
          <xm:sqref>C25:C46</xm:sqref>
        </x14:dataValidation>
        <x14:dataValidation type="list" allowBlank="1" xr:uid="{00000000-0002-0000-0000-000004000000}">
          <x14:formula1>
            <xm:f>Sheet4!$J$1:$J$160</xm:f>
          </x14:formula1>
          <xm:sqref>B14:B18</xm:sqref>
        </x14:dataValidation>
        <x14:dataValidation type="list" allowBlank="1" xr:uid="{00000000-0002-0000-0000-000005000000}">
          <x14:formula1>
            <xm:f>Sheet2!$L$11:$L$29</xm:f>
          </x14:formula1>
          <xm:sqref>F25:F46</xm:sqref>
        </x14:dataValidation>
        <x14:dataValidation type="list" allowBlank="1" xr:uid="{00000000-0002-0000-0000-000006000000}">
          <x14:formula1>
            <xm:f>Sheet4!$M$1:$M$133</xm:f>
          </x14:formula1>
          <xm:sqref>B20:B23</xm:sqref>
        </x14:dataValidation>
        <x14:dataValidation type="list" allowBlank="1" xr:uid="{00000000-0002-0000-0000-000007000000}">
          <x14:formula1>
            <xm:f>Sheet4!$F$1:$F$166</xm:f>
          </x14:formula1>
          <xm:sqref>B7:B12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33203125" defaultRowHeight="15" customHeight="1" x14ac:dyDescent="0.2"/>
  <cols>
    <col min="1" max="1" width="91.33203125" customWidth="1"/>
    <col min="2" max="11" width="8.6640625" customWidth="1"/>
    <col min="12" max="12" width="30.33203125" customWidth="1"/>
    <col min="13" max="26" width="8.6640625" customWidth="1"/>
  </cols>
  <sheetData>
    <row r="1" spans="1:26" ht="12.75" customHeight="1" x14ac:dyDescent="0.2">
      <c r="A1" s="41" t="s">
        <v>86</v>
      </c>
      <c r="C1" s="42">
        <v>19</v>
      </c>
      <c r="F1" s="41"/>
      <c r="G1" s="41"/>
    </row>
    <row r="2" spans="1:26" ht="12.75" customHeight="1" x14ac:dyDescent="0.2">
      <c r="A2" s="41" t="s">
        <v>87</v>
      </c>
      <c r="B2" s="42">
        <v>6</v>
      </c>
      <c r="C2" s="42">
        <v>54</v>
      </c>
      <c r="F2" s="41"/>
      <c r="G2" s="41"/>
    </row>
    <row r="3" spans="1:26" ht="12.75" customHeight="1" x14ac:dyDescent="0.2">
      <c r="A3" s="41" t="s">
        <v>88</v>
      </c>
      <c r="B3" s="42">
        <v>9</v>
      </c>
      <c r="C3" s="42">
        <v>54</v>
      </c>
      <c r="F3" s="41"/>
      <c r="G3" s="41"/>
    </row>
    <row r="4" spans="1:26" ht="12.75" customHeight="1" x14ac:dyDescent="0.2">
      <c r="A4" s="41" t="s">
        <v>89</v>
      </c>
      <c r="B4" s="42">
        <v>19</v>
      </c>
      <c r="C4" s="42">
        <v>54</v>
      </c>
      <c r="F4" s="41"/>
      <c r="G4" s="41"/>
    </row>
    <row r="5" spans="1:26" ht="12.75" customHeight="1" x14ac:dyDescent="0.2">
      <c r="A5" s="41" t="s">
        <v>90</v>
      </c>
      <c r="B5" s="41">
        <v>14</v>
      </c>
      <c r="C5" s="41">
        <v>54</v>
      </c>
      <c r="D5" s="41"/>
      <c r="E5" s="41"/>
      <c r="F5" s="41"/>
      <c r="G5" s="41"/>
      <c r="H5" s="41"/>
      <c r="I5" s="41"/>
      <c r="J5" s="41"/>
      <c r="K5" s="41"/>
      <c r="L5" s="41"/>
      <c r="M5" s="41"/>
      <c r="N5" s="41"/>
      <c r="O5" s="41"/>
      <c r="P5" s="41"/>
      <c r="Q5" s="41"/>
      <c r="R5" s="41"/>
      <c r="S5" s="41"/>
      <c r="T5" s="41"/>
      <c r="U5" s="41"/>
      <c r="V5" s="41"/>
      <c r="W5" s="41"/>
      <c r="X5" s="41"/>
      <c r="Y5" s="41"/>
      <c r="Z5" s="41"/>
    </row>
    <row r="6" spans="1:26" ht="12.75" customHeight="1" x14ac:dyDescent="0.2">
      <c r="A6" s="41" t="s">
        <v>91</v>
      </c>
      <c r="B6" s="42">
        <v>6</v>
      </c>
      <c r="C6" s="42">
        <v>83</v>
      </c>
      <c r="F6" s="41"/>
      <c r="G6" s="41"/>
    </row>
    <row r="7" spans="1:26" ht="12.75" customHeight="1" x14ac:dyDescent="0.2">
      <c r="A7" s="41" t="s">
        <v>92</v>
      </c>
      <c r="B7" s="41">
        <v>6</v>
      </c>
      <c r="C7" s="41">
        <v>35</v>
      </c>
      <c r="D7" s="41"/>
      <c r="E7" s="41"/>
      <c r="F7" s="41"/>
      <c r="G7" s="41"/>
      <c r="H7" s="41"/>
      <c r="I7" s="41"/>
      <c r="J7" s="41"/>
      <c r="K7" s="41"/>
      <c r="L7" s="41"/>
      <c r="M7" s="41"/>
      <c r="N7" s="41"/>
      <c r="O7" s="41"/>
      <c r="P7" s="41"/>
      <c r="Q7" s="41"/>
      <c r="R7" s="41"/>
      <c r="S7" s="41"/>
      <c r="T7" s="41"/>
      <c r="U7" s="41"/>
      <c r="V7" s="41"/>
      <c r="W7" s="41"/>
      <c r="X7" s="41"/>
      <c r="Y7" s="41"/>
      <c r="Z7" s="41"/>
    </row>
    <row r="8" spans="1:26" ht="12.75" customHeight="1" x14ac:dyDescent="0.2">
      <c r="A8" s="41" t="s">
        <v>93</v>
      </c>
      <c r="B8" s="41">
        <v>13</v>
      </c>
      <c r="C8" s="41">
        <v>113</v>
      </c>
      <c r="D8" s="41"/>
      <c r="E8" s="41"/>
      <c r="F8" s="41"/>
      <c r="G8" s="41"/>
      <c r="H8" s="41"/>
      <c r="I8" s="41"/>
      <c r="J8" s="41"/>
      <c r="K8" s="41"/>
      <c r="L8" s="41"/>
      <c r="M8" s="41"/>
      <c r="N8" s="41"/>
      <c r="O8" s="41"/>
      <c r="P8" s="41"/>
      <c r="Q8" s="41"/>
      <c r="R8" s="41"/>
      <c r="S8" s="41"/>
      <c r="T8" s="41"/>
      <c r="U8" s="41"/>
      <c r="V8" s="41"/>
      <c r="W8" s="41"/>
      <c r="X8" s="41"/>
      <c r="Y8" s="41"/>
      <c r="Z8" s="41"/>
    </row>
    <row r="9" spans="1:26" ht="12.75" customHeight="1" x14ac:dyDescent="0.2">
      <c r="A9" s="41" t="s">
        <v>94</v>
      </c>
      <c r="B9" s="41">
        <v>29</v>
      </c>
      <c r="C9" s="41">
        <v>113</v>
      </c>
      <c r="D9" s="41"/>
      <c r="E9" s="41"/>
      <c r="F9" s="41"/>
      <c r="G9" s="41"/>
      <c r="H9" s="41"/>
      <c r="I9" s="41"/>
      <c r="J9" s="41"/>
      <c r="K9" s="41"/>
      <c r="L9" s="41"/>
      <c r="M9" s="41"/>
      <c r="N9" s="41"/>
      <c r="O9" s="41"/>
      <c r="P9" s="41"/>
      <c r="Q9" s="41"/>
      <c r="R9" s="41"/>
      <c r="S9" s="41"/>
      <c r="T9" s="41"/>
      <c r="U9" s="41"/>
      <c r="V9" s="41"/>
      <c r="W9" s="41"/>
      <c r="X9" s="41"/>
      <c r="Y9" s="41"/>
      <c r="Z9" s="41"/>
    </row>
    <row r="10" spans="1:26" ht="12.75" customHeight="1" x14ac:dyDescent="0.2">
      <c r="A10" s="41" t="s">
        <v>95</v>
      </c>
      <c r="B10" s="42">
        <v>13</v>
      </c>
      <c r="C10" s="42">
        <v>94</v>
      </c>
      <c r="F10" s="41"/>
      <c r="G10" s="41"/>
    </row>
    <row r="11" spans="1:26" ht="12.75" customHeight="1" x14ac:dyDescent="0.2">
      <c r="A11" s="41" t="s">
        <v>96</v>
      </c>
      <c r="B11" s="41">
        <v>29</v>
      </c>
      <c r="C11" s="41">
        <v>94</v>
      </c>
      <c r="D11" s="41"/>
      <c r="E11" s="41"/>
      <c r="F11" s="41"/>
      <c r="G11" s="41"/>
      <c r="H11" s="41" t="s">
        <v>23</v>
      </c>
      <c r="I11" s="41">
        <v>0</v>
      </c>
      <c r="J11" s="41"/>
      <c r="K11" s="41"/>
      <c r="L11" s="41" t="s">
        <v>97</v>
      </c>
      <c r="M11" s="41">
        <v>17</v>
      </c>
      <c r="N11" s="41"/>
      <c r="O11" s="41"/>
      <c r="P11" s="41"/>
      <c r="Q11" s="41"/>
      <c r="R11" s="41"/>
      <c r="S11" s="41"/>
      <c r="T11" s="41"/>
      <c r="U11" s="41"/>
      <c r="V11" s="41"/>
      <c r="W11" s="41"/>
      <c r="X11" s="41"/>
      <c r="Y11" s="41"/>
      <c r="Z11" s="41"/>
    </row>
    <row r="12" spans="1:26" ht="12.75" customHeight="1" x14ac:dyDescent="0.2">
      <c r="A12" s="41" t="s">
        <v>24</v>
      </c>
      <c r="C12" s="42">
        <v>182</v>
      </c>
      <c r="F12" s="41"/>
      <c r="G12" s="41"/>
      <c r="H12" s="42" t="s">
        <v>26</v>
      </c>
      <c r="I12" s="42">
        <v>40</v>
      </c>
      <c r="L12" s="41" t="s">
        <v>98</v>
      </c>
      <c r="M12" s="41">
        <v>34</v>
      </c>
    </row>
    <row r="13" spans="1:26" ht="12.75" customHeight="1" x14ac:dyDescent="0.2">
      <c r="A13" s="41" t="s">
        <v>99</v>
      </c>
      <c r="C13" s="42">
        <v>182</v>
      </c>
      <c r="F13" s="41"/>
      <c r="G13" s="41"/>
      <c r="H13" s="42">
        <v>0</v>
      </c>
      <c r="I13" s="42">
        <v>0</v>
      </c>
      <c r="L13" s="41" t="s">
        <v>25</v>
      </c>
      <c r="M13" s="41">
        <v>0</v>
      </c>
    </row>
    <row r="14" spans="1:26" ht="12.75" customHeight="1" x14ac:dyDescent="0.2">
      <c r="A14" s="41" t="s">
        <v>100</v>
      </c>
      <c r="B14" s="41">
        <v>47</v>
      </c>
      <c r="C14" s="42">
        <v>140</v>
      </c>
      <c r="F14" s="41"/>
      <c r="G14" s="41"/>
      <c r="L14" s="41" t="s">
        <v>101</v>
      </c>
      <c r="M14" s="41">
        <v>0</v>
      </c>
    </row>
    <row r="15" spans="1:26" ht="12.75" customHeight="1" x14ac:dyDescent="0.2">
      <c r="A15" s="41" t="s">
        <v>102</v>
      </c>
      <c r="C15" s="42">
        <v>0</v>
      </c>
      <c r="F15" s="41"/>
      <c r="G15" s="41"/>
      <c r="L15" s="41" t="s">
        <v>103</v>
      </c>
      <c r="M15" s="41">
        <v>17</v>
      </c>
    </row>
    <row r="16" spans="1:26" ht="12.75" customHeight="1" x14ac:dyDescent="0.2">
      <c r="A16" s="41" t="s">
        <v>27</v>
      </c>
      <c r="B16" s="41">
        <v>6</v>
      </c>
      <c r="C16" s="41">
        <v>35</v>
      </c>
      <c r="D16" s="41"/>
      <c r="E16" s="41"/>
      <c r="F16" s="41"/>
      <c r="G16" s="41"/>
      <c r="H16" s="41"/>
      <c r="I16" s="41"/>
      <c r="J16" s="41"/>
      <c r="K16" s="41"/>
      <c r="L16" s="41" t="s">
        <v>104</v>
      </c>
      <c r="M16" s="41">
        <v>17</v>
      </c>
      <c r="N16" s="41"/>
      <c r="O16" s="41"/>
      <c r="P16" s="41"/>
      <c r="Q16" s="41"/>
      <c r="R16" s="41"/>
      <c r="S16" s="41"/>
      <c r="T16" s="41"/>
      <c r="U16" s="41"/>
      <c r="V16" s="41"/>
      <c r="W16" s="41"/>
      <c r="X16" s="41"/>
      <c r="Y16" s="41"/>
      <c r="Z16" s="41"/>
    </row>
    <row r="17" spans="1:26" ht="12.75" customHeight="1" x14ac:dyDescent="0.2">
      <c r="A17" s="41" t="s">
        <v>105</v>
      </c>
      <c r="C17" s="42">
        <v>0</v>
      </c>
      <c r="F17" s="41"/>
      <c r="G17" s="41"/>
      <c r="L17" s="41" t="s">
        <v>28</v>
      </c>
      <c r="M17" s="41">
        <v>0</v>
      </c>
    </row>
    <row r="18" spans="1:26" ht="12.75" customHeight="1" x14ac:dyDescent="0.2">
      <c r="A18" s="41" t="s">
        <v>106</v>
      </c>
      <c r="B18" s="41"/>
      <c r="C18" s="41">
        <v>338</v>
      </c>
      <c r="D18" s="41"/>
      <c r="E18" s="41"/>
      <c r="F18" s="41"/>
      <c r="G18" s="41"/>
      <c r="H18" s="41"/>
      <c r="I18" s="41"/>
      <c r="J18" s="41"/>
      <c r="K18" s="41"/>
      <c r="L18" s="41" t="s">
        <v>107</v>
      </c>
      <c r="M18" s="41">
        <v>17</v>
      </c>
      <c r="N18" s="41"/>
      <c r="O18" s="41"/>
      <c r="P18" s="41"/>
      <c r="Q18" s="41"/>
      <c r="R18" s="41"/>
      <c r="S18" s="41"/>
      <c r="T18" s="41"/>
      <c r="U18" s="41"/>
      <c r="V18" s="41"/>
      <c r="W18" s="41"/>
      <c r="X18" s="41"/>
      <c r="Y18" s="41"/>
      <c r="Z18" s="41"/>
    </row>
    <row r="19" spans="1:26" ht="12.75" customHeight="1" x14ac:dyDescent="0.2">
      <c r="A19" s="41" t="s">
        <v>108</v>
      </c>
      <c r="B19" s="41"/>
      <c r="C19" s="41">
        <v>338</v>
      </c>
      <c r="D19" s="41"/>
      <c r="E19" s="41"/>
      <c r="F19" s="41"/>
      <c r="G19" s="41"/>
      <c r="H19" s="41"/>
      <c r="I19" s="41"/>
      <c r="J19" s="41"/>
      <c r="K19" s="41"/>
      <c r="L19" s="41" t="s">
        <v>109</v>
      </c>
      <c r="M19" s="41">
        <v>0</v>
      </c>
      <c r="N19" s="41"/>
      <c r="O19" s="41"/>
      <c r="P19" s="41"/>
      <c r="Q19" s="41"/>
      <c r="R19" s="41"/>
      <c r="S19" s="41"/>
      <c r="T19" s="41"/>
      <c r="U19" s="41"/>
      <c r="V19" s="41"/>
      <c r="W19" s="41"/>
      <c r="X19" s="41"/>
      <c r="Y19" s="41"/>
      <c r="Z19" s="41"/>
    </row>
    <row r="20" spans="1:26" ht="12.75" customHeight="1" x14ac:dyDescent="0.2">
      <c r="A20" s="41" t="s">
        <v>110</v>
      </c>
      <c r="B20" s="41"/>
      <c r="C20" s="41">
        <v>676</v>
      </c>
      <c r="D20" s="41"/>
      <c r="E20" s="41"/>
      <c r="F20" s="41"/>
      <c r="G20" s="41"/>
      <c r="H20" s="41"/>
      <c r="I20" s="41"/>
      <c r="J20" s="41"/>
      <c r="K20" s="41"/>
      <c r="L20" s="41" t="s">
        <v>111</v>
      </c>
      <c r="M20" s="41">
        <v>17</v>
      </c>
      <c r="N20" s="41"/>
      <c r="O20" s="41"/>
      <c r="P20" s="41"/>
      <c r="Q20" s="41"/>
      <c r="R20" s="41"/>
      <c r="S20" s="41"/>
      <c r="T20" s="41"/>
      <c r="U20" s="41"/>
      <c r="V20" s="41"/>
      <c r="W20" s="41"/>
      <c r="X20" s="41"/>
      <c r="Y20" s="41"/>
      <c r="Z20" s="41"/>
    </row>
    <row r="21" spans="1:26" ht="12.75" customHeight="1" x14ac:dyDescent="0.2">
      <c r="A21" s="41" t="s">
        <v>112</v>
      </c>
      <c r="B21" s="41"/>
      <c r="C21" s="41">
        <v>338</v>
      </c>
      <c r="D21" s="41"/>
      <c r="E21" s="41"/>
      <c r="F21" s="41"/>
      <c r="G21" s="41"/>
      <c r="H21" s="41"/>
      <c r="I21" s="41"/>
      <c r="J21" s="41"/>
      <c r="K21" s="41"/>
      <c r="L21" s="41" t="s">
        <v>113</v>
      </c>
      <c r="M21" s="41">
        <v>0</v>
      </c>
      <c r="N21" s="41"/>
      <c r="O21" s="41"/>
      <c r="P21" s="41"/>
      <c r="Q21" s="41"/>
      <c r="R21" s="41"/>
      <c r="S21" s="41"/>
      <c r="T21" s="41"/>
      <c r="U21" s="41"/>
      <c r="V21" s="41"/>
      <c r="W21" s="41"/>
      <c r="X21" s="41"/>
      <c r="Y21" s="41"/>
      <c r="Z21" s="41"/>
    </row>
    <row r="22" spans="1:26" ht="12.75" customHeight="1" x14ac:dyDescent="0.2">
      <c r="A22" s="41" t="s">
        <v>114</v>
      </c>
      <c r="B22" s="41"/>
      <c r="C22" s="41">
        <v>338</v>
      </c>
      <c r="D22" s="41"/>
      <c r="E22" s="41"/>
      <c r="F22" s="41"/>
      <c r="G22" s="41"/>
      <c r="H22" s="41"/>
      <c r="I22" s="41"/>
      <c r="J22" s="41"/>
      <c r="K22" s="41"/>
      <c r="L22" s="41" t="s">
        <v>30</v>
      </c>
      <c r="M22" s="41">
        <v>0</v>
      </c>
      <c r="N22" s="41"/>
      <c r="O22" s="41"/>
      <c r="P22" s="41"/>
      <c r="Q22" s="41"/>
      <c r="R22" s="41"/>
      <c r="S22" s="41"/>
      <c r="T22" s="41"/>
      <c r="U22" s="41"/>
      <c r="V22" s="41"/>
      <c r="W22" s="41"/>
      <c r="X22" s="41"/>
      <c r="Y22" s="41"/>
      <c r="Z22" s="41"/>
    </row>
    <row r="23" spans="1:26" ht="12.75" customHeight="1" x14ac:dyDescent="0.2">
      <c r="A23" s="41" t="s">
        <v>115</v>
      </c>
      <c r="B23" s="41"/>
      <c r="C23" s="41">
        <v>676</v>
      </c>
      <c r="D23" s="41"/>
      <c r="E23" s="41"/>
      <c r="F23" s="41"/>
      <c r="G23" s="41"/>
      <c r="H23" s="41"/>
      <c r="I23" s="41"/>
      <c r="J23" s="41"/>
      <c r="K23" s="41"/>
      <c r="L23" s="41"/>
      <c r="M23" s="41"/>
      <c r="N23" s="41"/>
      <c r="O23" s="41"/>
      <c r="P23" s="41"/>
      <c r="Q23" s="41"/>
      <c r="R23" s="41"/>
      <c r="S23" s="41"/>
      <c r="T23" s="41"/>
      <c r="U23" s="41"/>
      <c r="V23" s="41"/>
      <c r="W23" s="41"/>
      <c r="X23" s="41"/>
      <c r="Y23" s="41"/>
      <c r="Z23" s="41"/>
    </row>
    <row r="24" spans="1:26" ht="12.75" customHeight="1" x14ac:dyDescent="0.2">
      <c r="A24" s="41" t="s">
        <v>116</v>
      </c>
      <c r="B24" s="41">
        <v>8</v>
      </c>
      <c r="F24" s="41"/>
      <c r="G24" s="41"/>
    </row>
    <row r="25" spans="1:26" ht="12.75" customHeight="1" x14ac:dyDescent="0.2">
      <c r="A25" s="41" t="s">
        <v>117</v>
      </c>
      <c r="B25" s="41">
        <v>10</v>
      </c>
      <c r="F25" s="41"/>
      <c r="G25" s="41"/>
    </row>
    <row r="26" spans="1:26" ht="12.75" customHeight="1" x14ac:dyDescent="0.2">
      <c r="A26" s="41" t="s">
        <v>118</v>
      </c>
      <c r="B26" s="41">
        <v>26</v>
      </c>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2.75" customHeight="1" x14ac:dyDescent="0.2">
      <c r="A27" s="41" t="s">
        <v>119</v>
      </c>
      <c r="B27" s="41">
        <v>18</v>
      </c>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2.75" customHeight="1" x14ac:dyDescent="0.2">
      <c r="A28" s="41" t="s">
        <v>120</v>
      </c>
      <c r="B28" s="41">
        <v>18</v>
      </c>
      <c r="F28" s="41"/>
      <c r="G28" s="41"/>
    </row>
    <row r="29" spans="1:26" ht="12.75" customHeight="1" x14ac:dyDescent="0.2">
      <c r="A29" s="41" t="s">
        <v>121</v>
      </c>
      <c r="B29" s="41">
        <v>8</v>
      </c>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2.75" customHeight="1" x14ac:dyDescent="0.2">
      <c r="A30" s="41" t="s">
        <v>122</v>
      </c>
      <c r="B30" s="41">
        <v>10</v>
      </c>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2.75" customHeight="1" x14ac:dyDescent="0.2">
      <c r="A31" s="41" t="s">
        <v>123</v>
      </c>
      <c r="B31" s="41">
        <v>88</v>
      </c>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2.75" customHeight="1" x14ac:dyDescent="0.2">
      <c r="A32" s="41" t="s">
        <v>124</v>
      </c>
      <c r="B32" s="41">
        <v>62</v>
      </c>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2.75" customHeight="1" x14ac:dyDescent="0.2">
      <c r="A33" s="41" t="s">
        <v>125</v>
      </c>
      <c r="B33" s="41">
        <v>26</v>
      </c>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2.75" customHeight="1" x14ac:dyDescent="0.2">
      <c r="A34" s="41" t="s">
        <v>126</v>
      </c>
      <c r="B34" s="41">
        <v>88</v>
      </c>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2.75" customHeight="1" x14ac:dyDescent="0.2">
      <c r="A35" s="41" t="s">
        <v>127</v>
      </c>
      <c r="B35" s="41">
        <v>62</v>
      </c>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4.25" customHeight="1" x14ac:dyDescent="0.2">
      <c r="A36" s="41" t="s">
        <v>128</v>
      </c>
      <c r="B36" s="41">
        <v>26</v>
      </c>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2.75" customHeight="1" x14ac:dyDescent="0.2">
      <c r="A37" s="41" t="s">
        <v>29</v>
      </c>
      <c r="B37" s="41"/>
      <c r="C37" s="41">
        <v>0</v>
      </c>
      <c r="D37" s="41"/>
      <c r="E37" s="41"/>
      <c r="F37" s="41"/>
      <c r="G37" s="41"/>
      <c r="H37" s="41"/>
      <c r="I37" s="41"/>
      <c r="J37" s="41"/>
      <c r="K37" s="41"/>
      <c r="L37" s="41"/>
      <c r="M37" s="41"/>
      <c r="N37" s="41"/>
      <c r="O37" s="41"/>
      <c r="P37" s="41"/>
      <c r="Q37" s="41"/>
      <c r="R37" s="41"/>
      <c r="S37" s="41"/>
      <c r="T37" s="41"/>
      <c r="U37" s="41"/>
      <c r="V37" s="41"/>
      <c r="W37" s="41"/>
      <c r="X37" s="41"/>
      <c r="Y37" s="41"/>
      <c r="Z37" s="41"/>
    </row>
    <row r="38" spans="1:26" ht="12.75" customHeight="1" x14ac:dyDescent="0.2">
      <c r="A38" s="41" t="s">
        <v>129</v>
      </c>
      <c r="C38" s="42">
        <v>15</v>
      </c>
      <c r="F38" s="41"/>
      <c r="G38" s="41"/>
    </row>
    <row r="39" spans="1:26" ht="12.75" customHeight="1" x14ac:dyDescent="0.2">
      <c r="A39" s="41" t="s">
        <v>130</v>
      </c>
      <c r="C39" s="42">
        <v>0</v>
      </c>
      <c r="F39" s="41"/>
      <c r="G39" s="41"/>
    </row>
    <row r="40" spans="1:26" ht="12.75" customHeight="1" x14ac:dyDescent="0.2">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2.75" customHeight="1" x14ac:dyDescent="0.2">
      <c r="A41" s="41" t="s">
        <v>31</v>
      </c>
      <c r="C41" s="42">
        <v>9</v>
      </c>
      <c r="F41" s="41"/>
      <c r="G41" s="41"/>
    </row>
    <row r="42" spans="1:26" ht="12.75" customHeight="1" x14ac:dyDescent="0.2">
      <c r="A42" s="41" t="s">
        <v>131</v>
      </c>
      <c r="B42" s="42">
        <v>1</v>
      </c>
      <c r="C42" s="42">
        <v>35</v>
      </c>
      <c r="F42" s="41"/>
      <c r="G42" s="41"/>
    </row>
    <row r="43" spans="1:26" ht="12.75" customHeight="1" x14ac:dyDescent="0.2">
      <c r="A43" s="41" t="s">
        <v>132</v>
      </c>
      <c r="B43" s="42">
        <v>1</v>
      </c>
      <c r="C43" s="42">
        <v>26</v>
      </c>
      <c r="F43" s="41"/>
      <c r="G43" s="41"/>
    </row>
    <row r="44" spans="1:26" ht="12.75" customHeight="1" x14ac:dyDescent="0.2">
      <c r="A44" s="41" t="s">
        <v>32</v>
      </c>
      <c r="B44" s="42">
        <v>47</v>
      </c>
      <c r="C44" s="42">
        <v>36</v>
      </c>
      <c r="F44" s="41"/>
      <c r="G44" s="41"/>
    </row>
    <row r="45" spans="1:26" ht="12.75" customHeight="1" x14ac:dyDescent="0.2">
      <c r="A45" s="41" t="s">
        <v>133</v>
      </c>
      <c r="B45" s="41">
        <v>68</v>
      </c>
      <c r="C45" s="41">
        <v>36</v>
      </c>
      <c r="D45" s="41"/>
      <c r="E45" s="41"/>
      <c r="F45" s="41"/>
      <c r="G45" s="41"/>
      <c r="H45" s="41"/>
      <c r="I45" s="41"/>
      <c r="J45" s="41"/>
      <c r="K45" s="41"/>
      <c r="L45" s="41"/>
      <c r="M45" s="41"/>
      <c r="N45" s="41"/>
      <c r="O45" s="41"/>
      <c r="P45" s="41"/>
      <c r="Q45" s="41"/>
      <c r="R45" s="41"/>
      <c r="S45" s="41"/>
      <c r="T45" s="41"/>
      <c r="U45" s="41"/>
      <c r="V45" s="41"/>
      <c r="W45" s="41"/>
      <c r="X45" s="41"/>
      <c r="Y45" s="41"/>
      <c r="Z45" s="41"/>
    </row>
    <row r="46" spans="1:26" ht="12.75" customHeight="1" x14ac:dyDescent="0.2">
      <c r="A46" s="41" t="s">
        <v>33</v>
      </c>
      <c r="B46" s="41">
        <v>16</v>
      </c>
      <c r="C46" s="41">
        <v>47</v>
      </c>
      <c r="D46" s="41"/>
      <c r="E46" s="41"/>
      <c r="F46" s="41"/>
      <c r="G46" s="41"/>
      <c r="H46" s="41"/>
      <c r="I46" s="41"/>
      <c r="J46" s="41"/>
      <c r="K46" s="41"/>
      <c r="L46" s="41"/>
      <c r="M46" s="41"/>
      <c r="N46" s="41"/>
      <c r="O46" s="41"/>
      <c r="P46" s="41"/>
      <c r="Q46" s="41"/>
      <c r="R46" s="41"/>
      <c r="S46" s="41"/>
      <c r="T46" s="41"/>
      <c r="U46" s="41"/>
      <c r="V46" s="41"/>
      <c r="W46" s="41"/>
      <c r="X46" s="41"/>
      <c r="Y46" s="41"/>
      <c r="Z46" s="41"/>
    </row>
    <row r="47" spans="1:26" ht="12.75" customHeight="1" x14ac:dyDescent="0.2">
      <c r="A47" s="41" t="s">
        <v>134</v>
      </c>
      <c r="B47" s="41">
        <v>13</v>
      </c>
      <c r="C47" s="41">
        <v>47</v>
      </c>
      <c r="D47" s="41"/>
      <c r="E47" s="41"/>
      <c r="F47" s="41"/>
      <c r="G47" s="41"/>
      <c r="H47" s="41"/>
      <c r="I47" s="41"/>
      <c r="J47" s="41"/>
      <c r="K47" s="41"/>
      <c r="L47" s="41"/>
      <c r="M47" s="41"/>
      <c r="N47" s="41"/>
      <c r="O47" s="41"/>
      <c r="P47" s="41"/>
      <c r="Q47" s="41"/>
      <c r="R47" s="41"/>
      <c r="S47" s="41"/>
      <c r="T47" s="41"/>
      <c r="U47" s="41"/>
      <c r="V47" s="41"/>
      <c r="W47" s="41"/>
      <c r="X47" s="41"/>
      <c r="Y47" s="41"/>
      <c r="Z47" s="41"/>
    </row>
    <row r="48" spans="1:26" ht="12.75" customHeight="1" x14ac:dyDescent="0.2">
      <c r="A48" s="41" t="s">
        <v>135</v>
      </c>
      <c r="B48" s="41">
        <v>9</v>
      </c>
      <c r="C48" s="41">
        <v>47</v>
      </c>
      <c r="D48" s="41"/>
      <c r="E48" s="41"/>
      <c r="F48" s="41"/>
      <c r="G48" s="41"/>
      <c r="H48" s="41"/>
      <c r="I48" s="41"/>
      <c r="J48" s="41"/>
      <c r="K48" s="41"/>
      <c r="L48" s="41"/>
      <c r="M48" s="41"/>
      <c r="N48" s="41"/>
      <c r="O48" s="41"/>
      <c r="P48" s="41"/>
      <c r="Q48" s="41"/>
      <c r="R48" s="41"/>
      <c r="S48" s="41"/>
      <c r="T48" s="41"/>
      <c r="U48" s="41"/>
      <c r="V48" s="41"/>
      <c r="W48" s="41"/>
      <c r="X48" s="41"/>
      <c r="Y48" s="41"/>
      <c r="Z48" s="41"/>
    </row>
    <row r="49" spans="1:26" ht="12.75" customHeight="1" x14ac:dyDescent="0.2">
      <c r="A49" s="41" t="s">
        <v>136</v>
      </c>
      <c r="B49" s="41">
        <v>9</v>
      </c>
      <c r="C49" s="41">
        <v>47</v>
      </c>
      <c r="D49" s="41"/>
      <c r="E49" s="41"/>
      <c r="F49" s="41"/>
      <c r="G49" s="41"/>
      <c r="H49" s="41"/>
      <c r="I49" s="41"/>
      <c r="J49" s="41"/>
      <c r="K49" s="41"/>
      <c r="L49" s="41"/>
      <c r="M49" s="41"/>
      <c r="N49" s="41"/>
      <c r="O49" s="41"/>
      <c r="P49" s="41"/>
      <c r="Q49" s="41"/>
      <c r="R49" s="41"/>
      <c r="S49" s="41"/>
      <c r="T49" s="41"/>
      <c r="U49" s="41"/>
      <c r="V49" s="41"/>
      <c r="W49" s="41"/>
      <c r="X49" s="41"/>
      <c r="Y49" s="41"/>
      <c r="Z49" s="41"/>
    </row>
    <row r="50" spans="1:26" ht="12.75" customHeight="1" x14ac:dyDescent="0.2">
      <c r="A50" s="41" t="s">
        <v>137</v>
      </c>
      <c r="B50" s="41">
        <v>6</v>
      </c>
      <c r="C50" s="41">
        <v>47</v>
      </c>
      <c r="D50" s="41"/>
      <c r="E50" s="41"/>
      <c r="F50" s="41"/>
      <c r="G50" s="41"/>
      <c r="H50" s="41"/>
      <c r="I50" s="41"/>
      <c r="J50" s="41"/>
      <c r="K50" s="41"/>
      <c r="L50" s="41"/>
      <c r="M50" s="41"/>
      <c r="N50" s="41"/>
      <c r="O50" s="41"/>
      <c r="P50" s="41"/>
      <c r="Q50" s="41"/>
      <c r="R50" s="41"/>
      <c r="S50" s="41"/>
      <c r="T50" s="41"/>
      <c r="U50" s="41"/>
      <c r="V50" s="41"/>
      <c r="W50" s="41"/>
      <c r="X50" s="41"/>
      <c r="Y50" s="41"/>
      <c r="Z50" s="41"/>
    </row>
    <row r="51" spans="1:26" ht="12.75" customHeight="1" x14ac:dyDescent="0.2">
      <c r="A51" s="41" t="s">
        <v>138</v>
      </c>
      <c r="B51" s="41">
        <v>6</v>
      </c>
      <c r="C51" s="41">
        <v>47</v>
      </c>
      <c r="D51" s="41"/>
      <c r="E51" s="41"/>
      <c r="F51" s="41"/>
      <c r="G51" s="41"/>
      <c r="H51" s="41"/>
      <c r="I51" s="41"/>
      <c r="J51" s="41"/>
      <c r="K51" s="41"/>
      <c r="L51" s="41"/>
      <c r="M51" s="41"/>
      <c r="N51" s="41"/>
      <c r="O51" s="41"/>
      <c r="P51" s="41"/>
      <c r="Q51" s="41"/>
      <c r="R51" s="41"/>
      <c r="S51" s="41"/>
      <c r="T51" s="41"/>
      <c r="U51" s="41"/>
      <c r="V51" s="41"/>
      <c r="W51" s="41"/>
      <c r="X51" s="41"/>
      <c r="Y51" s="41"/>
      <c r="Z51" s="41"/>
    </row>
    <row r="52" spans="1:26" ht="12.75" customHeight="1" x14ac:dyDescent="0.2">
      <c r="A52" s="41" t="s">
        <v>139</v>
      </c>
      <c r="B52" s="41">
        <v>16</v>
      </c>
      <c r="C52" s="41">
        <v>56</v>
      </c>
      <c r="D52" s="41"/>
      <c r="E52" s="41"/>
      <c r="F52" s="41"/>
      <c r="G52" s="41"/>
      <c r="H52" s="41"/>
      <c r="I52" s="41"/>
      <c r="J52" s="41"/>
      <c r="K52" s="41"/>
      <c r="L52" s="41"/>
      <c r="M52" s="41"/>
      <c r="N52" s="41"/>
      <c r="O52" s="41"/>
      <c r="P52" s="41"/>
      <c r="Q52" s="41"/>
      <c r="R52" s="41"/>
      <c r="S52" s="41"/>
      <c r="T52" s="41"/>
      <c r="U52" s="41"/>
      <c r="V52" s="41"/>
      <c r="W52" s="41"/>
      <c r="X52" s="41"/>
      <c r="Y52" s="41"/>
      <c r="Z52" s="41"/>
    </row>
    <row r="53" spans="1:26" ht="12.75" customHeight="1" x14ac:dyDescent="0.2">
      <c r="A53" s="41" t="s">
        <v>140</v>
      </c>
      <c r="B53" s="41">
        <v>13</v>
      </c>
      <c r="C53" s="41">
        <v>56</v>
      </c>
      <c r="D53" s="41"/>
      <c r="E53" s="41"/>
      <c r="F53" s="41"/>
      <c r="G53" s="41"/>
      <c r="H53" s="41"/>
      <c r="I53" s="41"/>
      <c r="J53" s="41"/>
      <c r="K53" s="41"/>
      <c r="L53" s="41"/>
      <c r="M53" s="41"/>
      <c r="N53" s="41"/>
      <c r="O53" s="41"/>
      <c r="P53" s="41"/>
      <c r="Q53" s="41"/>
      <c r="R53" s="41"/>
      <c r="S53" s="41"/>
      <c r="T53" s="41"/>
      <c r="U53" s="41"/>
      <c r="V53" s="41"/>
      <c r="W53" s="41"/>
      <c r="X53" s="41"/>
      <c r="Y53" s="41"/>
      <c r="Z53" s="41"/>
    </row>
    <row r="54" spans="1:26" ht="12.75" customHeight="1" x14ac:dyDescent="0.2">
      <c r="A54" s="41" t="s">
        <v>141</v>
      </c>
      <c r="B54" s="41">
        <v>9</v>
      </c>
      <c r="C54" s="41">
        <v>56</v>
      </c>
      <c r="D54" s="41"/>
      <c r="E54" s="41"/>
      <c r="F54" s="41"/>
      <c r="G54" s="41"/>
      <c r="H54" s="41"/>
      <c r="I54" s="41"/>
      <c r="J54" s="41"/>
      <c r="K54" s="41"/>
      <c r="L54" s="41"/>
      <c r="M54" s="41"/>
      <c r="N54" s="41"/>
      <c r="O54" s="41"/>
      <c r="P54" s="41"/>
      <c r="Q54" s="41"/>
      <c r="R54" s="41"/>
      <c r="S54" s="41"/>
      <c r="T54" s="41"/>
      <c r="U54" s="41"/>
      <c r="V54" s="41"/>
      <c r="W54" s="41"/>
      <c r="X54" s="41"/>
      <c r="Y54" s="41"/>
      <c r="Z54" s="41"/>
    </row>
    <row r="55" spans="1:26" ht="12.75" customHeight="1" x14ac:dyDescent="0.2">
      <c r="A55" s="41" t="s">
        <v>142</v>
      </c>
      <c r="B55" s="41">
        <v>9</v>
      </c>
      <c r="C55" s="41">
        <v>56</v>
      </c>
      <c r="D55" s="41"/>
      <c r="E55" s="41"/>
      <c r="F55" s="41"/>
      <c r="G55" s="41"/>
      <c r="H55" s="41"/>
      <c r="I55" s="41"/>
      <c r="J55" s="41"/>
      <c r="K55" s="41"/>
      <c r="L55" s="41"/>
      <c r="M55" s="41"/>
      <c r="N55" s="41"/>
      <c r="O55" s="41"/>
      <c r="P55" s="41"/>
      <c r="Q55" s="41"/>
      <c r="R55" s="41"/>
      <c r="S55" s="41"/>
      <c r="T55" s="41"/>
      <c r="U55" s="41"/>
      <c r="V55" s="41"/>
      <c r="W55" s="41"/>
      <c r="X55" s="41"/>
      <c r="Y55" s="41"/>
      <c r="Z55" s="41"/>
    </row>
    <row r="56" spans="1:26" ht="12.75" customHeight="1" x14ac:dyDescent="0.2">
      <c r="A56" s="41" t="s">
        <v>143</v>
      </c>
      <c r="B56" s="41">
        <v>6</v>
      </c>
      <c r="C56" s="41">
        <v>56</v>
      </c>
      <c r="D56" s="41"/>
      <c r="E56" s="41"/>
      <c r="F56" s="41"/>
      <c r="G56" s="41"/>
      <c r="H56" s="41"/>
      <c r="I56" s="41"/>
      <c r="J56" s="41"/>
      <c r="K56" s="41"/>
      <c r="L56" s="41"/>
      <c r="M56" s="41"/>
      <c r="N56" s="41"/>
      <c r="O56" s="41"/>
      <c r="P56" s="41"/>
      <c r="Q56" s="41"/>
      <c r="R56" s="41"/>
      <c r="S56" s="41"/>
      <c r="T56" s="41"/>
      <c r="U56" s="41"/>
      <c r="V56" s="41"/>
      <c r="W56" s="41"/>
      <c r="X56" s="41"/>
      <c r="Y56" s="41"/>
      <c r="Z56" s="41"/>
    </row>
    <row r="57" spans="1:26" ht="12.75" customHeight="1" x14ac:dyDescent="0.2">
      <c r="A57" s="41" t="s">
        <v>144</v>
      </c>
      <c r="B57" s="41">
        <v>6</v>
      </c>
      <c r="C57" s="41">
        <v>56</v>
      </c>
      <c r="D57" s="41"/>
      <c r="E57" s="41"/>
      <c r="F57" s="41"/>
      <c r="G57" s="41"/>
      <c r="H57" s="41"/>
      <c r="I57" s="41"/>
      <c r="J57" s="41"/>
      <c r="K57" s="41"/>
      <c r="L57" s="41"/>
      <c r="M57" s="41"/>
      <c r="N57" s="41"/>
      <c r="O57" s="41"/>
      <c r="P57" s="41"/>
      <c r="Q57" s="41"/>
      <c r="R57" s="41"/>
      <c r="S57" s="41"/>
      <c r="T57" s="41"/>
      <c r="U57" s="41"/>
      <c r="V57" s="41"/>
      <c r="W57" s="41"/>
      <c r="X57" s="41"/>
      <c r="Y57" s="41"/>
      <c r="Z57" s="41"/>
    </row>
    <row r="58" spans="1:26" ht="12.75" customHeight="1" x14ac:dyDescent="0.2">
      <c r="A58" s="43" t="s">
        <v>145</v>
      </c>
      <c r="B58" s="41">
        <v>36</v>
      </c>
      <c r="C58" s="41">
        <v>36</v>
      </c>
      <c r="F58" s="41"/>
      <c r="G58" s="41"/>
    </row>
    <row r="59" spans="1:26" ht="12.75" customHeight="1" x14ac:dyDescent="0.2">
      <c r="A59" s="41" t="s">
        <v>34</v>
      </c>
      <c r="C59" s="42">
        <v>9</v>
      </c>
      <c r="F59" s="41"/>
      <c r="G59" s="41"/>
    </row>
    <row r="60" spans="1:26" ht="12.75" customHeight="1" x14ac:dyDescent="0.2">
      <c r="A60" s="41"/>
      <c r="F60" s="41"/>
      <c r="G60" s="41"/>
    </row>
    <row r="61" spans="1:26" ht="12.75" customHeight="1" x14ac:dyDescent="0.2">
      <c r="A61" s="41" t="s">
        <v>35</v>
      </c>
      <c r="C61" s="42">
        <v>18</v>
      </c>
      <c r="F61" s="41"/>
      <c r="G61" s="41"/>
    </row>
    <row r="62" spans="1:26" ht="12.75" customHeight="1" x14ac:dyDescent="0.2">
      <c r="A62" s="41" t="s">
        <v>146</v>
      </c>
      <c r="B62" s="41">
        <v>3</v>
      </c>
      <c r="C62" s="41">
        <v>75</v>
      </c>
      <c r="D62" s="41"/>
      <c r="E62" s="41"/>
      <c r="F62" s="41"/>
      <c r="G62" s="41"/>
      <c r="H62" s="41"/>
      <c r="I62" s="41"/>
      <c r="J62" s="41"/>
      <c r="K62" s="41"/>
      <c r="L62" s="41"/>
      <c r="M62" s="41"/>
      <c r="N62" s="41"/>
      <c r="O62" s="41"/>
      <c r="P62" s="41"/>
      <c r="Q62" s="41"/>
      <c r="R62" s="41"/>
      <c r="S62" s="41"/>
      <c r="T62" s="41"/>
      <c r="U62" s="41"/>
      <c r="V62" s="41"/>
      <c r="W62" s="41"/>
      <c r="X62" s="41"/>
      <c r="Y62" s="41"/>
      <c r="Z62" s="41"/>
    </row>
    <row r="63" spans="1:26" ht="12.75" customHeight="1" x14ac:dyDescent="0.2">
      <c r="A63" s="41" t="s">
        <v>147</v>
      </c>
      <c r="B63" s="41">
        <v>16</v>
      </c>
      <c r="C63" s="41">
        <v>75</v>
      </c>
      <c r="D63" s="41"/>
      <c r="E63" s="41"/>
      <c r="F63" s="41"/>
      <c r="G63" s="41"/>
      <c r="H63" s="41"/>
      <c r="I63" s="41"/>
      <c r="J63" s="41"/>
      <c r="K63" s="41"/>
      <c r="L63" s="41"/>
      <c r="M63" s="41"/>
      <c r="N63" s="41"/>
      <c r="O63" s="41"/>
      <c r="P63" s="41"/>
      <c r="Q63" s="41"/>
      <c r="R63" s="41"/>
      <c r="S63" s="41"/>
      <c r="T63" s="41"/>
      <c r="U63" s="41"/>
      <c r="V63" s="41"/>
      <c r="W63" s="41"/>
      <c r="X63" s="41"/>
      <c r="Y63" s="41"/>
      <c r="Z63" s="41"/>
    </row>
    <row r="64" spans="1:26" ht="12.75" customHeight="1" x14ac:dyDescent="0.2">
      <c r="A64" s="41" t="s">
        <v>148</v>
      </c>
      <c r="B64" s="42">
        <v>16</v>
      </c>
      <c r="C64" s="42">
        <v>57</v>
      </c>
      <c r="F64" s="41"/>
      <c r="G64" s="41"/>
    </row>
    <row r="65" spans="1:26" ht="12.75" customHeight="1" x14ac:dyDescent="0.2">
      <c r="A65" s="41" t="s">
        <v>149</v>
      </c>
      <c r="B65" s="41">
        <v>12</v>
      </c>
      <c r="C65" s="41">
        <v>151</v>
      </c>
      <c r="D65" s="41"/>
      <c r="E65" s="41"/>
      <c r="F65" s="41"/>
      <c r="G65" s="41"/>
      <c r="H65" s="41"/>
      <c r="I65" s="41"/>
      <c r="J65" s="41"/>
      <c r="K65" s="41"/>
      <c r="L65" s="41"/>
      <c r="M65" s="41"/>
      <c r="N65" s="41"/>
      <c r="O65" s="41"/>
      <c r="P65" s="41"/>
      <c r="Q65" s="41"/>
      <c r="R65" s="41"/>
      <c r="S65" s="41"/>
      <c r="T65" s="41"/>
      <c r="U65" s="41"/>
      <c r="V65" s="41"/>
      <c r="W65" s="41"/>
      <c r="X65" s="41"/>
      <c r="Y65" s="41"/>
      <c r="Z65" s="41"/>
    </row>
    <row r="66" spans="1:26" ht="12.75" customHeight="1" x14ac:dyDescent="0.2">
      <c r="A66" s="41" t="s">
        <v>36</v>
      </c>
      <c r="B66" s="41">
        <v>10</v>
      </c>
      <c r="C66" s="41">
        <v>114</v>
      </c>
      <c r="D66" s="41"/>
      <c r="E66" s="41"/>
      <c r="F66" s="41"/>
      <c r="G66" s="41"/>
      <c r="H66" s="41"/>
      <c r="I66" s="41"/>
      <c r="J66" s="41"/>
      <c r="K66" s="41"/>
      <c r="L66" s="41"/>
      <c r="M66" s="41"/>
      <c r="N66" s="41"/>
      <c r="O66" s="41"/>
      <c r="P66" s="41"/>
      <c r="Q66" s="41"/>
      <c r="R66" s="41"/>
      <c r="S66" s="41"/>
      <c r="T66" s="41"/>
      <c r="U66" s="41"/>
      <c r="V66" s="41"/>
      <c r="W66" s="41"/>
      <c r="X66" s="41"/>
      <c r="Y66" s="41"/>
      <c r="Z66" s="41"/>
    </row>
    <row r="67" spans="1:26" ht="12.75" customHeight="1" x14ac:dyDescent="0.2">
      <c r="A67" s="41" t="s">
        <v>150</v>
      </c>
      <c r="B67" s="41">
        <v>5</v>
      </c>
      <c r="C67" s="41">
        <v>112</v>
      </c>
      <c r="D67" s="41"/>
      <c r="E67" s="41"/>
      <c r="F67" s="41"/>
      <c r="G67" s="41"/>
      <c r="H67" s="41"/>
      <c r="I67" s="41"/>
      <c r="J67" s="41"/>
      <c r="K67" s="41"/>
      <c r="L67" s="41"/>
      <c r="M67" s="41"/>
      <c r="N67" s="41"/>
      <c r="O67" s="41"/>
      <c r="P67" s="41"/>
      <c r="Q67" s="41"/>
      <c r="R67" s="41"/>
      <c r="S67" s="41"/>
      <c r="T67" s="41"/>
      <c r="U67" s="41"/>
      <c r="V67" s="41"/>
      <c r="W67" s="41"/>
      <c r="X67" s="41"/>
      <c r="Y67" s="41"/>
      <c r="Z67" s="41"/>
    </row>
    <row r="68" spans="1:26" ht="12.75" customHeight="1" x14ac:dyDescent="0.2">
      <c r="A68" s="41" t="s">
        <v>151</v>
      </c>
      <c r="B68" s="42">
        <v>5</v>
      </c>
      <c r="C68" s="42">
        <v>94</v>
      </c>
      <c r="F68" s="41"/>
      <c r="G68" s="41"/>
    </row>
    <row r="69" spans="1:26" ht="12.75" customHeight="1" x14ac:dyDescent="0.2">
      <c r="A69" s="41" t="s">
        <v>152</v>
      </c>
      <c r="B69" s="41">
        <v>5</v>
      </c>
      <c r="C69" s="41">
        <v>112</v>
      </c>
      <c r="D69" s="41"/>
      <c r="E69" s="41"/>
      <c r="F69" s="41"/>
      <c r="G69" s="41"/>
      <c r="H69" s="41"/>
      <c r="I69" s="41"/>
      <c r="J69" s="41"/>
      <c r="K69" s="41"/>
      <c r="L69" s="41"/>
      <c r="M69" s="41"/>
      <c r="N69" s="41"/>
      <c r="O69" s="41"/>
      <c r="P69" s="41"/>
      <c r="Q69" s="41"/>
      <c r="R69" s="41"/>
      <c r="S69" s="41"/>
      <c r="T69" s="41"/>
      <c r="U69" s="41"/>
      <c r="V69" s="41"/>
      <c r="W69" s="41"/>
      <c r="X69" s="41"/>
      <c r="Y69" s="41"/>
      <c r="Z69" s="41"/>
    </row>
    <row r="70" spans="1:26" ht="12.75" customHeight="1" x14ac:dyDescent="0.2">
      <c r="A70" s="41" t="s">
        <v>153</v>
      </c>
      <c r="B70" s="41">
        <v>7</v>
      </c>
      <c r="C70" s="41">
        <v>75</v>
      </c>
      <c r="D70" s="41"/>
      <c r="E70" s="41"/>
      <c r="F70" s="41"/>
      <c r="G70" s="41"/>
      <c r="H70" s="41"/>
      <c r="I70" s="41"/>
      <c r="J70" s="41"/>
      <c r="K70" s="41"/>
      <c r="L70" s="41"/>
      <c r="M70" s="41"/>
      <c r="N70" s="41"/>
      <c r="O70" s="41"/>
      <c r="P70" s="41"/>
      <c r="Q70" s="41"/>
      <c r="R70" s="41"/>
      <c r="S70" s="41"/>
      <c r="T70" s="41"/>
      <c r="U70" s="41"/>
      <c r="V70" s="41"/>
      <c r="W70" s="41"/>
      <c r="X70" s="41"/>
      <c r="Y70" s="41"/>
      <c r="Z70" s="41"/>
    </row>
    <row r="71" spans="1:26" ht="12.75" customHeight="1" x14ac:dyDescent="0.2">
      <c r="A71" s="41" t="s">
        <v>154</v>
      </c>
      <c r="B71" s="42">
        <v>7</v>
      </c>
      <c r="C71" s="42">
        <v>57</v>
      </c>
      <c r="F71" s="41"/>
      <c r="G71" s="41"/>
    </row>
    <row r="72" spans="1:26" ht="12.75" customHeight="1" x14ac:dyDescent="0.2">
      <c r="A72" s="41" t="s">
        <v>155</v>
      </c>
      <c r="B72" s="41">
        <v>7</v>
      </c>
      <c r="C72" s="41">
        <v>75</v>
      </c>
      <c r="D72" s="41"/>
      <c r="E72" s="41"/>
      <c r="F72" s="41"/>
      <c r="G72" s="41"/>
      <c r="H72" s="41"/>
      <c r="I72" s="41"/>
      <c r="J72" s="41"/>
      <c r="K72" s="41"/>
      <c r="L72" s="41"/>
      <c r="M72" s="41"/>
      <c r="N72" s="41"/>
      <c r="O72" s="41"/>
      <c r="P72" s="41"/>
      <c r="Q72" s="41"/>
      <c r="R72" s="41"/>
      <c r="S72" s="41"/>
      <c r="T72" s="41"/>
      <c r="U72" s="41"/>
      <c r="V72" s="41"/>
      <c r="W72" s="41"/>
      <c r="X72" s="41"/>
      <c r="Y72" s="41"/>
      <c r="Z72" s="41"/>
    </row>
    <row r="73" spans="1:26" ht="12.75" customHeight="1" x14ac:dyDescent="0.2">
      <c r="A73" s="41" t="s">
        <v>37</v>
      </c>
      <c r="C73" s="42">
        <v>18</v>
      </c>
      <c r="F73" s="41"/>
      <c r="G73" s="41"/>
    </row>
    <row r="74" spans="1:26" ht="12.75" customHeight="1" x14ac:dyDescent="0.2">
      <c r="F74" s="41"/>
      <c r="G74" s="41"/>
    </row>
    <row r="75" spans="1:26" ht="12.75" customHeight="1" x14ac:dyDescent="0.2">
      <c r="A75" s="41" t="s">
        <v>156</v>
      </c>
      <c r="C75" s="41">
        <v>41</v>
      </c>
      <c r="F75" s="41"/>
      <c r="G75" s="41"/>
    </row>
    <row r="76" spans="1:26" ht="12.75" customHeight="1" x14ac:dyDescent="0.2">
      <c r="A76" s="41" t="s">
        <v>157</v>
      </c>
      <c r="B76" s="41">
        <v>64</v>
      </c>
      <c r="C76" s="41">
        <v>46</v>
      </c>
      <c r="F76" s="41"/>
      <c r="G76" s="41"/>
    </row>
    <row r="77" spans="1:26" ht="12.75" customHeight="1" x14ac:dyDescent="0.2">
      <c r="A77" s="41" t="s">
        <v>158</v>
      </c>
      <c r="B77" s="41">
        <v>36</v>
      </c>
      <c r="C77" s="41">
        <v>73</v>
      </c>
      <c r="F77" s="41"/>
      <c r="G77" s="41"/>
    </row>
    <row r="78" spans="1:26" ht="12.75" customHeight="1" x14ac:dyDescent="0.2">
      <c r="A78" s="41" t="s">
        <v>159</v>
      </c>
      <c r="B78" s="41">
        <v>65</v>
      </c>
      <c r="C78" s="41">
        <v>73</v>
      </c>
      <c r="D78" s="41"/>
      <c r="E78" s="41"/>
      <c r="F78" s="41"/>
      <c r="G78" s="41"/>
      <c r="H78" s="41"/>
      <c r="I78" s="41"/>
      <c r="J78" s="41"/>
      <c r="K78" s="41"/>
      <c r="L78" s="41"/>
      <c r="M78" s="41"/>
      <c r="N78" s="41"/>
      <c r="O78" s="41"/>
      <c r="P78" s="41"/>
      <c r="Q78" s="41"/>
      <c r="R78" s="41"/>
      <c r="S78" s="41"/>
      <c r="T78" s="41"/>
      <c r="U78" s="41"/>
      <c r="V78" s="41"/>
      <c r="W78" s="41"/>
      <c r="X78" s="41"/>
      <c r="Y78" s="41"/>
      <c r="Z78" s="41"/>
    </row>
    <row r="79" spans="1:26" ht="12.75" customHeight="1" x14ac:dyDescent="0.2">
      <c r="A79" s="41" t="s">
        <v>160</v>
      </c>
      <c r="B79" s="41">
        <v>65</v>
      </c>
      <c r="C79" s="41">
        <v>73</v>
      </c>
      <c r="D79" s="41"/>
      <c r="E79" s="41"/>
      <c r="F79" s="41"/>
      <c r="G79" s="41"/>
      <c r="H79" s="41"/>
      <c r="I79" s="41"/>
      <c r="J79" s="41"/>
      <c r="K79" s="41"/>
      <c r="L79" s="41"/>
      <c r="M79" s="41"/>
      <c r="N79" s="41"/>
      <c r="O79" s="41"/>
      <c r="P79" s="41"/>
      <c r="Q79" s="41"/>
      <c r="R79" s="41"/>
      <c r="S79" s="41"/>
      <c r="T79" s="41"/>
      <c r="U79" s="41"/>
      <c r="V79" s="41"/>
      <c r="W79" s="41"/>
      <c r="X79" s="41"/>
      <c r="Y79" s="41"/>
      <c r="Z79" s="41"/>
    </row>
    <row r="80" spans="1:26" ht="12.75" customHeight="1" x14ac:dyDescent="0.2">
      <c r="A80" s="41" t="s">
        <v>161</v>
      </c>
      <c r="B80" s="41">
        <v>36</v>
      </c>
      <c r="C80" s="41">
        <v>73</v>
      </c>
      <c r="F80" s="41"/>
      <c r="G80" s="41"/>
    </row>
    <row r="81" spans="1:26" ht="12.75" customHeight="1" x14ac:dyDescent="0.2">
      <c r="A81" s="41" t="s">
        <v>162</v>
      </c>
      <c r="C81" s="41">
        <v>41</v>
      </c>
      <c r="F81" s="41"/>
      <c r="G81" s="41"/>
    </row>
    <row r="82" spans="1:26" ht="12.75" customHeight="1" x14ac:dyDescent="0.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2.75" customHeight="1" x14ac:dyDescent="0.2">
      <c r="A83" s="42" t="s">
        <v>163</v>
      </c>
      <c r="C83" s="42">
        <v>68</v>
      </c>
      <c r="F83" s="41"/>
      <c r="G83" s="41"/>
    </row>
    <row r="84" spans="1:26" ht="12.75" customHeight="1" x14ac:dyDescent="0.2">
      <c r="A84" s="41" t="s">
        <v>164</v>
      </c>
      <c r="C84" s="42">
        <v>162</v>
      </c>
      <c r="F84" s="41"/>
      <c r="G84" s="41"/>
    </row>
    <row r="85" spans="1:26" ht="12.75" customHeight="1" x14ac:dyDescent="0.2">
      <c r="A85" s="41" t="s">
        <v>165</v>
      </c>
      <c r="B85" s="41">
        <v>15</v>
      </c>
      <c r="C85" s="41">
        <v>162</v>
      </c>
      <c r="D85" s="41"/>
      <c r="E85" s="41"/>
      <c r="F85" s="41"/>
      <c r="G85" s="41"/>
      <c r="H85" s="41"/>
      <c r="I85" s="41"/>
      <c r="J85" s="41"/>
      <c r="K85" s="41"/>
      <c r="L85" s="41"/>
      <c r="M85" s="41"/>
      <c r="N85" s="41"/>
      <c r="O85" s="41"/>
      <c r="P85" s="41"/>
      <c r="Q85" s="41"/>
      <c r="R85" s="41"/>
      <c r="S85" s="41"/>
      <c r="T85" s="41"/>
      <c r="U85" s="41"/>
      <c r="V85" s="41"/>
      <c r="W85" s="41"/>
      <c r="X85" s="41"/>
      <c r="Y85" s="41"/>
      <c r="Z85" s="41"/>
    </row>
    <row r="86" spans="1:26" ht="12.75" customHeight="1" x14ac:dyDescent="0.2">
      <c r="A86" s="41" t="s">
        <v>166</v>
      </c>
      <c r="B86" s="41">
        <v>22</v>
      </c>
      <c r="C86" s="41">
        <v>162</v>
      </c>
      <c r="D86" s="41"/>
      <c r="E86" s="41"/>
      <c r="F86" s="41"/>
      <c r="G86" s="41"/>
      <c r="H86" s="41"/>
      <c r="I86" s="41"/>
      <c r="J86" s="41"/>
      <c r="K86" s="41"/>
      <c r="L86" s="41"/>
      <c r="M86" s="41"/>
      <c r="N86" s="41"/>
      <c r="O86" s="41"/>
      <c r="P86" s="41"/>
      <c r="Q86" s="41"/>
      <c r="R86" s="41"/>
      <c r="S86" s="41"/>
      <c r="T86" s="41"/>
      <c r="U86" s="41"/>
      <c r="V86" s="41"/>
      <c r="W86" s="41"/>
      <c r="X86" s="41"/>
      <c r="Y86" s="41"/>
      <c r="Z86" s="41"/>
    </row>
    <row r="87" spans="1:26" ht="12.75" customHeight="1" x14ac:dyDescent="0.2">
      <c r="A87" s="41" t="s">
        <v>167</v>
      </c>
      <c r="B87" s="42">
        <v>40</v>
      </c>
      <c r="C87" s="42">
        <v>94</v>
      </c>
      <c r="F87" s="41"/>
      <c r="G87" s="41"/>
    </row>
    <row r="88" spans="1:26" ht="12.75" customHeight="1" x14ac:dyDescent="0.2">
      <c r="A88" s="41" t="s">
        <v>168</v>
      </c>
      <c r="B88" s="42">
        <v>30</v>
      </c>
      <c r="C88" s="42">
        <v>94</v>
      </c>
      <c r="F88" s="41"/>
      <c r="G88" s="41"/>
    </row>
    <row r="89" spans="1:26" ht="12.75" customHeight="1" x14ac:dyDescent="0.2">
      <c r="A89" s="41" t="s">
        <v>169</v>
      </c>
      <c r="C89" s="42">
        <v>68</v>
      </c>
      <c r="F89" s="41"/>
      <c r="G89" s="41"/>
    </row>
    <row r="90" spans="1:26" ht="12.75" customHeight="1" x14ac:dyDescent="0.2">
      <c r="F90" s="41"/>
      <c r="G90" s="41"/>
    </row>
    <row r="91" spans="1:26" ht="12.75" customHeight="1" x14ac:dyDescent="0.2">
      <c r="A91" s="41" t="s">
        <v>170</v>
      </c>
      <c r="C91" s="42">
        <v>162</v>
      </c>
      <c r="F91" s="41"/>
      <c r="G91" s="41"/>
    </row>
    <row r="92" spans="1:26" ht="12.75" customHeight="1" x14ac:dyDescent="0.2">
      <c r="A92" s="41" t="s">
        <v>171</v>
      </c>
      <c r="B92" s="42">
        <v>31</v>
      </c>
      <c r="C92" s="42">
        <v>100</v>
      </c>
      <c r="F92" s="41"/>
      <c r="G92" s="41"/>
    </row>
    <row r="93" spans="1:26" ht="12.75" customHeight="1" x14ac:dyDescent="0.2">
      <c r="A93" s="41" t="s">
        <v>172</v>
      </c>
      <c r="C93" s="42">
        <v>44</v>
      </c>
      <c r="F93" s="41"/>
      <c r="G93" s="41"/>
    </row>
    <row r="94" spans="1:26" ht="12.75" customHeight="1" x14ac:dyDescent="0.2">
      <c r="A94" s="44" t="s">
        <v>38</v>
      </c>
      <c r="B94" s="42">
        <v>0</v>
      </c>
    </row>
    <row r="95" spans="1:26" ht="12.75" customHeight="1" x14ac:dyDescent="0.2"/>
    <row r="96" spans="1:2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33203125" defaultRowHeight="15" customHeight="1" x14ac:dyDescent="0.2"/>
  <cols>
    <col min="1" max="1" width="58" customWidth="1"/>
    <col min="2" max="2" width="21.1640625" customWidth="1"/>
    <col min="3" max="3" width="9.33203125" customWidth="1"/>
    <col min="4" max="4" width="9.83203125" customWidth="1"/>
    <col min="5" max="5" width="20.83203125" customWidth="1"/>
    <col min="6" max="6" width="82.1640625" customWidth="1"/>
    <col min="7" max="7" width="9.83203125" customWidth="1"/>
    <col min="8" max="9" width="9.33203125" customWidth="1"/>
    <col min="10" max="10" width="78.33203125" customWidth="1"/>
    <col min="11" max="12" width="9.33203125" customWidth="1"/>
    <col min="13" max="13" width="90.33203125" customWidth="1"/>
    <col min="14" max="26" width="9.33203125" customWidth="1"/>
  </cols>
  <sheetData>
    <row r="1" spans="1:26" ht="12.75" customHeight="1" x14ac:dyDescent="0.4">
      <c r="A1" s="45"/>
      <c r="B1" s="46"/>
      <c r="C1" s="41"/>
      <c r="D1" s="41"/>
      <c r="E1" s="41"/>
      <c r="F1" s="47" t="s">
        <v>173</v>
      </c>
      <c r="G1" s="41"/>
      <c r="H1" s="41"/>
      <c r="I1" s="41"/>
      <c r="J1" s="48" t="s">
        <v>174</v>
      </c>
      <c r="K1" s="49"/>
      <c r="L1" s="41"/>
      <c r="M1" s="41" t="s">
        <v>174</v>
      </c>
      <c r="N1" s="41"/>
      <c r="O1" s="41"/>
      <c r="P1" s="41"/>
      <c r="Q1" s="41"/>
      <c r="R1" s="41"/>
      <c r="S1" s="41"/>
      <c r="T1" s="41"/>
      <c r="U1" s="41"/>
      <c r="V1" s="41"/>
      <c r="W1" s="41"/>
      <c r="X1" s="41"/>
      <c r="Y1" s="41"/>
      <c r="Z1" s="41"/>
    </row>
    <row r="2" spans="1:26" ht="12.75" customHeight="1" x14ac:dyDescent="0.4">
      <c r="A2" s="47"/>
      <c r="B2" s="46"/>
      <c r="C2" s="41"/>
      <c r="D2" s="41"/>
      <c r="E2" s="41"/>
      <c r="F2" s="46" t="s">
        <v>175</v>
      </c>
      <c r="G2" s="49"/>
      <c r="H2" s="41"/>
      <c r="I2" s="41"/>
      <c r="J2" s="46" t="s">
        <v>176</v>
      </c>
      <c r="K2" s="49"/>
      <c r="L2" s="41"/>
      <c r="M2" s="50" t="s">
        <v>177</v>
      </c>
      <c r="N2" s="49"/>
      <c r="O2" s="41"/>
      <c r="P2" s="41"/>
      <c r="Q2" s="41"/>
      <c r="R2" s="41"/>
      <c r="S2" s="41"/>
      <c r="T2" s="41"/>
      <c r="U2" s="41"/>
      <c r="V2" s="41"/>
      <c r="W2" s="41"/>
      <c r="X2" s="41"/>
      <c r="Y2" s="41"/>
      <c r="Z2" s="41"/>
    </row>
    <row r="3" spans="1:26" ht="12.75" customHeight="1" x14ac:dyDescent="0.35">
      <c r="A3" s="45" t="s">
        <v>178</v>
      </c>
      <c r="B3" s="46" t="s">
        <v>179</v>
      </c>
      <c r="C3" s="41"/>
      <c r="D3" s="41"/>
      <c r="E3" s="41"/>
      <c r="F3" s="51" t="s">
        <v>180</v>
      </c>
      <c r="G3" s="49">
        <f t="shared" ref="G3:G15" si="0">E6</f>
        <v>71.041666666666657</v>
      </c>
      <c r="H3" s="41"/>
      <c r="I3" s="41"/>
      <c r="J3" s="52" t="s">
        <v>181</v>
      </c>
      <c r="K3" s="49">
        <f t="shared" ref="K3:K14" si="1">E33</f>
        <v>0</v>
      </c>
      <c r="L3" s="41"/>
      <c r="M3" s="52" t="s">
        <v>182</v>
      </c>
      <c r="N3" s="49">
        <f t="shared" ref="N3:N12" si="2">E21</f>
        <v>50.416666666666671</v>
      </c>
      <c r="O3" s="41"/>
      <c r="P3" s="41"/>
      <c r="Q3" s="41"/>
      <c r="R3" s="41"/>
      <c r="S3" s="41"/>
      <c r="T3" s="41"/>
      <c r="U3" s="41"/>
      <c r="V3" s="41"/>
      <c r="W3" s="41"/>
      <c r="X3" s="41"/>
      <c r="Y3" s="41"/>
      <c r="Z3" s="41"/>
    </row>
    <row r="4" spans="1:26" ht="12.75" customHeight="1" x14ac:dyDescent="0.4">
      <c r="A4" s="47" t="s">
        <v>173</v>
      </c>
      <c r="B4" s="46" t="s">
        <v>183</v>
      </c>
      <c r="C4" s="41"/>
      <c r="D4" s="41">
        <v>0</v>
      </c>
      <c r="E4" s="49">
        <v>0</v>
      </c>
      <c r="F4" s="53" t="s">
        <v>184</v>
      </c>
      <c r="G4" s="49">
        <f t="shared" si="0"/>
        <v>77.916666666666657</v>
      </c>
      <c r="H4" s="41"/>
      <c r="I4" s="41"/>
      <c r="J4" s="53" t="s">
        <v>185</v>
      </c>
      <c r="K4" s="49">
        <f t="shared" si="1"/>
        <v>84.791666666666657</v>
      </c>
      <c r="L4" s="41"/>
      <c r="M4" s="52" t="s">
        <v>186</v>
      </c>
      <c r="N4" s="49">
        <f t="shared" si="2"/>
        <v>64.166666666666671</v>
      </c>
      <c r="O4" s="41"/>
      <c r="P4" s="41"/>
      <c r="Q4" s="41"/>
      <c r="R4" s="41"/>
      <c r="S4" s="41"/>
      <c r="T4" s="41"/>
      <c r="U4" s="41"/>
      <c r="V4" s="41"/>
      <c r="W4" s="41"/>
      <c r="X4" s="41"/>
      <c r="Y4" s="41"/>
      <c r="Z4" s="41"/>
    </row>
    <row r="5" spans="1:26" ht="12.75" customHeight="1" x14ac:dyDescent="0.35">
      <c r="A5" s="46" t="s">
        <v>175</v>
      </c>
      <c r="B5" s="54"/>
      <c r="C5" s="41"/>
      <c r="D5" s="41">
        <f t="shared" ref="D5:D259" si="3">(B5/24000)</f>
        <v>0</v>
      </c>
      <c r="E5" s="49">
        <f t="shared" ref="E5:E259" si="4">D5+D5*10%</f>
        <v>0</v>
      </c>
      <c r="F5" s="55" t="s">
        <v>187</v>
      </c>
      <c r="G5" s="49">
        <f t="shared" si="0"/>
        <v>68.75</v>
      </c>
      <c r="H5" s="41"/>
      <c r="I5" s="41"/>
      <c r="J5" s="45" t="s">
        <v>188</v>
      </c>
      <c r="K5" s="49">
        <f t="shared" si="1"/>
        <v>132.91666666666666</v>
      </c>
      <c r="L5" s="41"/>
      <c r="M5" s="53" t="s">
        <v>189</v>
      </c>
      <c r="N5" s="49">
        <f t="shared" si="2"/>
        <v>32.083333333333336</v>
      </c>
      <c r="O5" s="41"/>
      <c r="P5" s="41"/>
      <c r="Q5" s="41"/>
      <c r="R5" s="41"/>
      <c r="S5" s="41"/>
      <c r="T5" s="41"/>
      <c r="U5" s="41"/>
      <c r="V5" s="41"/>
      <c r="W5" s="41"/>
      <c r="X5" s="41"/>
      <c r="Y5" s="41"/>
      <c r="Z5" s="41"/>
    </row>
    <row r="6" spans="1:26" ht="12.75" customHeight="1" x14ac:dyDescent="0.35">
      <c r="A6" s="51" t="s">
        <v>180</v>
      </c>
      <c r="B6" s="56">
        <v>1550000</v>
      </c>
      <c r="C6" s="41"/>
      <c r="D6" s="41">
        <f t="shared" si="3"/>
        <v>64.583333333333329</v>
      </c>
      <c r="E6" s="49">
        <f t="shared" si="4"/>
        <v>71.041666666666657</v>
      </c>
      <c r="F6" s="55" t="s">
        <v>190</v>
      </c>
      <c r="G6" s="49">
        <f t="shared" si="0"/>
        <v>77.916666666666657</v>
      </c>
      <c r="H6" s="41"/>
      <c r="I6" s="41"/>
      <c r="J6" s="45" t="s">
        <v>191</v>
      </c>
      <c r="K6" s="49">
        <f t="shared" si="1"/>
        <v>114.58333333333334</v>
      </c>
      <c r="L6" s="41"/>
      <c r="M6" s="53" t="s">
        <v>192</v>
      </c>
      <c r="N6" s="49">
        <f t="shared" si="2"/>
        <v>36.666666666666671</v>
      </c>
      <c r="O6" s="41"/>
      <c r="P6" s="41"/>
      <c r="Q6" s="41"/>
      <c r="R6" s="41"/>
      <c r="S6" s="41"/>
      <c r="T6" s="41"/>
      <c r="U6" s="41"/>
      <c r="V6" s="41"/>
      <c r="W6" s="41"/>
      <c r="X6" s="41"/>
      <c r="Y6" s="41"/>
      <c r="Z6" s="41"/>
    </row>
    <row r="7" spans="1:26" ht="12.75" customHeight="1" x14ac:dyDescent="0.35">
      <c r="A7" s="53" t="s">
        <v>184</v>
      </c>
      <c r="B7" s="56">
        <v>1700000</v>
      </c>
      <c r="C7" s="41"/>
      <c r="D7" s="41">
        <f t="shared" si="3"/>
        <v>70.833333333333329</v>
      </c>
      <c r="E7" s="49">
        <f t="shared" si="4"/>
        <v>77.916666666666657</v>
      </c>
      <c r="F7" s="45" t="s">
        <v>193</v>
      </c>
      <c r="G7" s="49">
        <f t="shared" si="0"/>
        <v>59.583333333333329</v>
      </c>
      <c r="H7" s="41"/>
      <c r="I7" s="41"/>
      <c r="J7" s="53" t="s">
        <v>194</v>
      </c>
      <c r="K7" s="49">
        <f t="shared" si="1"/>
        <v>165</v>
      </c>
      <c r="L7" s="41"/>
      <c r="M7" s="53" t="s">
        <v>195</v>
      </c>
      <c r="N7" s="49">
        <f t="shared" si="2"/>
        <v>29.791666666666664</v>
      </c>
      <c r="O7" s="41"/>
      <c r="P7" s="41"/>
      <c r="Q7" s="41"/>
      <c r="R7" s="41"/>
      <c r="S7" s="41"/>
      <c r="T7" s="41"/>
      <c r="U7" s="41"/>
      <c r="V7" s="41"/>
      <c r="W7" s="41"/>
      <c r="X7" s="41"/>
      <c r="Y7" s="41"/>
      <c r="Z7" s="41"/>
    </row>
    <row r="8" spans="1:26" ht="12.75" customHeight="1" x14ac:dyDescent="0.35">
      <c r="A8" s="55" t="s">
        <v>187</v>
      </c>
      <c r="B8" s="56">
        <v>1500000</v>
      </c>
      <c r="C8" s="41"/>
      <c r="D8" s="41">
        <f t="shared" si="3"/>
        <v>62.5</v>
      </c>
      <c r="E8" s="49">
        <f t="shared" si="4"/>
        <v>68.75</v>
      </c>
      <c r="F8" s="45" t="s">
        <v>196</v>
      </c>
      <c r="G8" s="49">
        <f t="shared" si="0"/>
        <v>64.166666666666671</v>
      </c>
      <c r="H8" s="41"/>
      <c r="I8" s="41"/>
      <c r="J8" s="53" t="s">
        <v>197</v>
      </c>
      <c r="K8" s="49">
        <f t="shared" si="1"/>
        <v>192.5</v>
      </c>
      <c r="L8" s="41"/>
      <c r="M8" s="53" t="s">
        <v>198</v>
      </c>
      <c r="N8" s="49">
        <f t="shared" si="2"/>
        <v>36.666666666666671</v>
      </c>
      <c r="O8" s="41"/>
      <c r="P8" s="41"/>
      <c r="Q8" s="41"/>
      <c r="R8" s="41"/>
      <c r="S8" s="41"/>
      <c r="T8" s="41"/>
      <c r="U8" s="41"/>
      <c r="V8" s="41"/>
      <c r="W8" s="41"/>
      <c r="X8" s="41"/>
      <c r="Y8" s="41"/>
      <c r="Z8" s="41"/>
    </row>
    <row r="9" spans="1:26" ht="12.75" customHeight="1" x14ac:dyDescent="0.35">
      <c r="A9" s="55" t="s">
        <v>190</v>
      </c>
      <c r="B9" s="56">
        <v>1700000</v>
      </c>
      <c r="C9" s="41"/>
      <c r="D9" s="41">
        <f t="shared" si="3"/>
        <v>70.833333333333329</v>
      </c>
      <c r="E9" s="49">
        <f t="shared" si="4"/>
        <v>77.916666666666657</v>
      </c>
      <c r="F9" s="53" t="s">
        <v>199</v>
      </c>
      <c r="G9" s="49">
        <f t="shared" si="0"/>
        <v>142.08333333333331</v>
      </c>
      <c r="H9" s="41"/>
      <c r="I9" s="41"/>
      <c r="J9" s="53" t="s">
        <v>200</v>
      </c>
      <c r="K9" s="49">
        <f t="shared" si="1"/>
        <v>159.5</v>
      </c>
      <c r="L9" s="41"/>
      <c r="M9" s="53" t="s">
        <v>201</v>
      </c>
      <c r="N9" s="49">
        <f t="shared" si="2"/>
        <v>25.208333333333336</v>
      </c>
      <c r="O9" s="41"/>
      <c r="P9" s="41"/>
      <c r="Q9" s="41"/>
      <c r="R9" s="41"/>
      <c r="S9" s="41"/>
      <c r="T9" s="41"/>
      <c r="U9" s="41"/>
      <c r="V9" s="41"/>
      <c r="W9" s="41"/>
      <c r="X9" s="41"/>
      <c r="Y9" s="41"/>
      <c r="Z9" s="41"/>
    </row>
    <row r="10" spans="1:26" ht="12.75" customHeight="1" x14ac:dyDescent="0.35">
      <c r="A10" s="45" t="s">
        <v>202</v>
      </c>
      <c r="B10" s="57">
        <v>1300000</v>
      </c>
      <c r="C10" s="41"/>
      <c r="D10" s="41">
        <f t="shared" si="3"/>
        <v>54.166666666666664</v>
      </c>
      <c r="E10" s="49">
        <f t="shared" si="4"/>
        <v>59.583333333333329</v>
      </c>
      <c r="F10" s="53" t="s">
        <v>203</v>
      </c>
      <c r="G10" s="49">
        <f t="shared" si="0"/>
        <v>169.58333333333331</v>
      </c>
      <c r="H10" s="41"/>
      <c r="I10" s="41"/>
      <c r="J10" s="53" t="s">
        <v>204</v>
      </c>
      <c r="K10" s="49">
        <f t="shared" si="1"/>
        <v>231</v>
      </c>
      <c r="L10" s="41"/>
      <c r="M10" s="53" t="s">
        <v>205</v>
      </c>
      <c r="N10" s="49">
        <f t="shared" si="2"/>
        <v>29.791666666666664</v>
      </c>
      <c r="O10" s="41"/>
      <c r="P10" s="41"/>
      <c r="Q10" s="41"/>
      <c r="R10" s="41"/>
      <c r="S10" s="41"/>
      <c r="T10" s="41"/>
      <c r="U10" s="41"/>
      <c r="V10" s="41"/>
      <c r="W10" s="41"/>
      <c r="X10" s="41"/>
      <c r="Y10" s="41"/>
      <c r="Z10" s="41"/>
    </row>
    <row r="11" spans="1:26" ht="12.75" customHeight="1" x14ac:dyDescent="0.35">
      <c r="A11" s="45" t="s">
        <v>196</v>
      </c>
      <c r="B11" s="57">
        <v>1400000</v>
      </c>
      <c r="C11" s="41"/>
      <c r="D11" s="41">
        <f t="shared" si="3"/>
        <v>58.333333333333336</v>
      </c>
      <c r="E11" s="49">
        <f t="shared" si="4"/>
        <v>64.166666666666671</v>
      </c>
      <c r="F11" s="52" t="s">
        <v>206</v>
      </c>
      <c r="G11" s="49">
        <f t="shared" si="0"/>
        <v>59.583333333333329</v>
      </c>
      <c r="H11" s="41"/>
      <c r="I11" s="41"/>
      <c r="J11" s="53" t="s">
        <v>207</v>
      </c>
      <c r="K11" s="49">
        <f t="shared" si="1"/>
        <v>357.5</v>
      </c>
      <c r="L11" s="41"/>
      <c r="M11" s="53" t="s">
        <v>208</v>
      </c>
      <c r="N11" s="49">
        <f t="shared" si="2"/>
        <v>41.25</v>
      </c>
      <c r="O11" s="41"/>
      <c r="P11" s="41"/>
      <c r="Q11" s="41"/>
      <c r="R11" s="41"/>
      <c r="S11" s="41"/>
      <c r="T11" s="41"/>
      <c r="U11" s="41"/>
      <c r="V11" s="41"/>
      <c r="W11" s="41"/>
      <c r="X11" s="41"/>
      <c r="Y11" s="41"/>
      <c r="Z11" s="41"/>
    </row>
    <row r="12" spans="1:26" ht="12.75" customHeight="1" x14ac:dyDescent="0.35">
      <c r="A12" s="53" t="s">
        <v>199</v>
      </c>
      <c r="B12" s="57">
        <v>3100000</v>
      </c>
      <c r="C12" s="41"/>
      <c r="D12" s="41">
        <f t="shared" si="3"/>
        <v>129.16666666666666</v>
      </c>
      <c r="E12" s="49">
        <f t="shared" si="4"/>
        <v>142.08333333333331</v>
      </c>
      <c r="F12" s="58"/>
      <c r="G12" s="49">
        <f t="shared" si="0"/>
        <v>0</v>
      </c>
      <c r="H12" s="41"/>
      <c r="I12" s="41"/>
      <c r="J12" s="53" t="s">
        <v>209</v>
      </c>
      <c r="K12" s="49">
        <f t="shared" si="1"/>
        <v>385</v>
      </c>
      <c r="L12" s="41"/>
      <c r="M12" s="53" t="s">
        <v>210</v>
      </c>
      <c r="N12" s="49">
        <f t="shared" si="2"/>
        <v>45.833333333333329</v>
      </c>
      <c r="O12" s="41"/>
      <c r="P12" s="41"/>
      <c r="Q12" s="41"/>
      <c r="R12" s="41"/>
      <c r="S12" s="41"/>
      <c r="T12" s="41"/>
      <c r="U12" s="41"/>
      <c r="V12" s="41"/>
      <c r="W12" s="41"/>
      <c r="X12" s="41"/>
      <c r="Y12" s="41"/>
      <c r="Z12" s="41"/>
    </row>
    <row r="13" spans="1:26" ht="12.75" customHeight="1" x14ac:dyDescent="0.35">
      <c r="A13" s="53" t="s">
        <v>203</v>
      </c>
      <c r="B13" s="57">
        <v>3700000</v>
      </c>
      <c r="C13" s="41"/>
      <c r="D13" s="41">
        <f t="shared" si="3"/>
        <v>154.16666666666666</v>
      </c>
      <c r="E13" s="49">
        <f t="shared" si="4"/>
        <v>169.58333333333331</v>
      </c>
      <c r="F13" s="59" t="s">
        <v>211</v>
      </c>
      <c r="G13" s="49">
        <f t="shared" si="0"/>
        <v>73.333333333333343</v>
      </c>
      <c r="H13" s="41"/>
      <c r="I13" s="41"/>
      <c r="J13" s="53" t="s">
        <v>212</v>
      </c>
      <c r="K13" s="49">
        <f t="shared" si="1"/>
        <v>93.729166666666657</v>
      </c>
      <c r="L13" s="41"/>
      <c r="M13" s="41"/>
      <c r="N13" s="41"/>
      <c r="O13" s="41"/>
      <c r="P13" s="41"/>
      <c r="Q13" s="41"/>
      <c r="R13" s="41"/>
      <c r="S13" s="41"/>
      <c r="T13" s="41"/>
      <c r="U13" s="41"/>
      <c r="V13" s="41"/>
      <c r="W13" s="41"/>
      <c r="X13" s="41"/>
      <c r="Y13" s="41"/>
      <c r="Z13" s="41"/>
    </row>
    <row r="14" spans="1:26" ht="12.75" customHeight="1" x14ac:dyDescent="0.35">
      <c r="A14" s="52" t="s">
        <v>206</v>
      </c>
      <c r="B14" s="60">
        <v>1300000</v>
      </c>
      <c r="C14" s="41"/>
      <c r="D14" s="41">
        <f t="shared" si="3"/>
        <v>54.166666666666664</v>
      </c>
      <c r="E14" s="49">
        <f t="shared" si="4"/>
        <v>59.583333333333329</v>
      </c>
      <c r="F14" s="59" t="s">
        <v>213</v>
      </c>
      <c r="G14" s="49">
        <f t="shared" si="0"/>
        <v>91.666666666666657</v>
      </c>
      <c r="H14" s="41"/>
      <c r="I14" s="41"/>
      <c r="J14" s="45" t="s">
        <v>214</v>
      </c>
      <c r="K14" s="49">
        <f t="shared" si="1"/>
        <v>174.625</v>
      </c>
      <c r="L14" s="41"/>
      <c r="M14" s="61" t="s">
        <v>11</v>
      </c>
      <c r="N14" s="49"/>
      <c r="O14" s="41"/>
      <c r="P14" s="41"/>
      <c r="Q14" s="41"/>
      <c r="R14" s="41"/>
      <c r="S14" s="41"/>
      <c r="T14" s="41"/>
      <c r="U14" s="41"/>
      <c r="V14" s="41"/>
      <c r="W14" s="41"/>
      <c r="X14" s="41"/>
      <c r="Y14" s="41"/>
      <c r="Z14" s="41"/>
    </row>
    <row r="15" spans="1:26" ht="12.75" customHeight="1" x14ac:dyDescent="0.35">
      <c r="A15" s="58"/>
      <c r="B15" s="62"/>
      <c r="C15" s="41"/>
      <c r="D15" s="41">
        <f t="shared" si="3"/>
        <v>0</v>
      </c>
      <c r="E15" s="49">
        <f t="shared" si="4"/>
        <v>0</v>
      </c>
      <c r="F15" s="59" t="s">
        <v>215</v>
      </c>
      <c r="G15" s="49">
        <f t="shared" si="0"/>
        <v>100.83333333333334</v>
      </c>
      <c r="H15" s="41"/>
      <c r="I15" s="41"/>
      <c r="J15" s="41"/>
      <c r="K15" s="41"/>
      <c r="L15" s="41"/>
      <c r="M15" s="63" t="s">
        <v>216</v>
      </c>
      <c r="N15" s="49">
        <f t="shared" ref="N15:N93" si="5">E47</f>
        <v>367.58333333333337</v>
      </c>
      <c r="O15" s="41"/>
      <c r="P15" s="41"/>
      <c r="Q15" s="41"/>
      <c r="R15" s="41"/>
      <c r="S15" s="41"/>
      <c r="T15" s="41"/>
      <c r="U15" s="41"/>
      <c r="V15" s="41"/>
      <c r="W15" s="41"/>
      <c r="X15" s="41"/>
      <c r="Y15" s="41"/>
      <c r="Z15" s="41"/>
    </row>
    <row r="16" spans="1:26" ht="12.75" customHeight="1" x14ac:dyDescent="0.35">
      <c r="A16" s="59" t="s">
        <v>211</v>
      </c>
      <c r="B16" s="64">
        <v>1600000</v>
      </c>
      <c r="C16" s="41"/>
      <c r="D16" s="41">
        <f t="shared" si="3"/>
        <v>66.666666666666671</v>
      </c>
      <c r="E16" s="49">
        <f t="shared" si="4"/>
        <v>73.333333333333343</v>
      </c>
      <c r="F16" s="61"/>
      <c r="G16" s="49"/>
      <c r="H16" s="41"/>
      <c r="I16" s="41"/>
      <c r="J16" s="61" t="s">
        <v>11</v>
      </c>
      <c r="K16" s="41"/>
      <c r="L16" s="41"/>
      <c r="M16" s="63" t="s">
        <v>217</v>
      </c>
      <c r="N16" s="49">
        <f t="shared" si="5"/>
        <v>412.08749999999998</v>
      </c>
      <c r="O16" s="41"/>
      <c r="P16" s="41"/>
      <c r="Q16" s="41"/>
      <c r="R16" s="41"/>
      <c r="S16" s="41"/>
      <c r="T16" s="41"/>
      <c r="U16" s="41"/>
      <c r="V16" s="41"/>
      <c r="W16" s="41"/>
      <c r="X16" s="41"/>
      <c r="Y16" s="41"/>
      <c r="Z16" s="41"/>
    </row>
    <row r="17" spans="1:26" ht="12.75" customHeight="1" x14ac:dyDescent="0.35">
      <c r="A17" s="59" t="s">
        <v>213</v>
      </c>
      <c r="B17" s="64">
        <v>2000000</v>
      </c>
      <c r="C17" s="41"/>
      <c r="D17" s="41">
        <f t="shared" si="3"/>
        <v>83.333333333333329</v>
      </c>
      <c r="E17" s="49">
        <f t="shared" si="4"/>
        <v>91.666666666666657</v>
      </c>
      <c r="F17" s="61" t="s">
        <v>11</v>
      </c>
      <c r="G17" s="49"/>
      <c r="H17" s="41"/>
      <c r="I17" s="41"/>
      <c r="J17" s="63" t="s">
        <v>216</v>
      </c>
      <c r="K17" s="49">
        <f t="shared" ref="K17:K95" si="6">E47</f>
        <v>367.58333333333337</v>
      </c>
      <c r="L17" s="41"/>
      <c r="M17" s="65" t="s">
        <v>218</v>
      </c>
      <c r="N17" s="49">
        <f t="shared" si="5"/>
        <v>229.16666666666669</v>
      </c>
      <c r="O17" s="41"/>
      <c r="P17" s="41"/>
      <c r="Q17" s="41"/>
      <c r="R17" s="41"/>
      <c r="S17" s="41"/>
      <c r="T17" s="41"/>
      <c r="U17" s="41"/>
      <c r="V17" s="41"/>
      <c r="W17" s="41"/>
      <c r="X17" s="41"/>
      <c r="Y17" s="41"/>
      <c r="Z17" s="41"/>
    </row>
    <row r="18" spans="1:26" ht="12.75" customHeight="1" x14ac:dyDescent="0.35">
      <c r="A18" s="59" t="s">
        <v>215</v>
      </c>
      <c r="B18" s="64">
        <v>2200000</v>
      </c>
      <c r="C18" s="41"/>
      <c r="D18" s="41">
        <f t="shared" si="3"/>
        <v>91.666666666666671</v>
      </c>
      <c r="E18" s="49">
        <f t="shared" si="4"/>
        <v>100.83333333333334</v>
      </c>
      <c r="F18" s="63" t="s">
        <v>216</v>
      </c>
      <c r="G18" s="49">
        <f t="shared" ref="G18:G96" si="7">E47</f>
        <v>367.58333333333337</v>
      </c>
      <c r="H18" s="41"/>
      <c r="I18" s="41"/>
      <c r="J18" s="63" t="s">
        <v>217</v>
      </c>
      <c r="K18" s="49">
        <f t="shared" si="6"/>
        <v>412.08749999999998</v>
      </c>
      <c r="L18" s="41"/>
      <c r="M18" s="65" t="s">
        <v>219</v>
      </c>
      <c r="N18" s="49">
        <f t="shared" si="5"/>
        <v>242.91666666666669</v>
      </c>
      <c r="O18" s="41"/>
      <c r="P18" s="41"/>
      <c r="Q18" s="41"/>
      <c r="R18" s="41"/>
      <c r="S18" s="41"/>
      <c r="T18" s="41"/>
      <c r="U18" s="41"/>
      <c r="V18" s="41"/>
      <c r="W18" s="41"/>
      <c r="X18" s="41"/>
      <c r="Y18" s="41"/>
      <c r="Z18" s="41"/>
    </row>
    <row r="19" spans="1:26" ht="12.75" customHeight="1" x14ac:dyDescent="0.35">
      <c r="A19" s="59"/>
      <c r="B19" s="64"/>
      <c r="C19" s="41"/>
      <c r="D19" s="41">
        <f t="shared" si="3"/>
        <v>0</v>
      </c>
      <c r="E19" s="49">
        <f t="shared" si="4"/>
        <v>0</v>
      </c>
      <c r="F19" s="63" t="s">
        <v>217</v>
      </c>
      <c r="G19" s="49">
        <f t="shared" si="7"/>
        <v>412.08749999999998</v>
      </c>
      <c r="H19" s="41"/>
      <c r="I19" s="41"/>
      <c r="J19" s="65" t="s">
        <v>218</v>
      </c>
      <c r="K19" s="49">
        <f t="shared" si="6"/>
        <v>229.16666666666669</v>
      </c>
      <c r="L19" s="41"/>
      <c r="M19" s="65" t="s">
        <v>220</v>
      </c>
      <c r="N19" s="49">
        <f t="shared" si="5"/>
        <v>411.125</v>
      </c>
      <c r="O19" s="41"/>
      <c r="P19" s="41"/>
      <c r="Q19" s="41"/>
      <c r="R19" s="41"/>
      <c r="S19" s="41"/>
      <c r="T19" s="41"/>
      <c r="U19" s="41"/>
      <c r="V19" s="41"/>
      <c r="W19" s="41"/>
      <c r="X19" s="41"/>
      <c r="Y19" s="41"/>
      <c r="Z19" s="41"/>
    </row>
    <row r="20" spans="1:26" ht="12.75" customHeight="1" x14ac:dyDescent="0.35">
      <c r="A20" s="50" t="s">
        <v>177</v>
      </c>
      <c r="B20" s="64"/>
      <c r="C20" s="41"/>
      <c r="D20" s="41">
        <f t="shared" si="3"/>
        <v>0</v>
      </c>
      <c r="E20" s="49">
        <f t="shared" si="4"/>
        <v>0</v>
      </c>
      <c r="F20" s="65" t="s">
        <v>218</v>
      </c>
      <c r="G20" s="49">
        <f t="shared" si="7"/>
        <v>229.16666666666669</v>
      </c>
      <c r="H20" s="41"/>
      <c r="I20" s="41"/>
      <c r="J20" s="65" t="s">
        <v>219</v>
      </c>
      <c r="K20" s="49">
        <f t="shared" si="6"/>
        <v>242.91666666666669</v>
      </c>
      <c r="L20" s="41"/>
      <c r="M20" s="65" t="s">
        <v>221</v>
      </c>
      <c r="N20" s="49">
        <f t="shared" si="5"/>
        <v>443.4375</v>
      </c>
      <c r="O20" s="41"/>
      <c r="P20" s="41"/>
      <c r="Q20" s="41"/>
      <c r="R20" s="41"/>
      <c r="S20" s="41"/>
      <c r="T20" s="41"/>
      <c r="U20" s="41"/>
      <c r="V20" s="41"/>
      <c r="W20" s="41"/>
      <c r="X20" s="41"/>
      <c r="Y20" s="41"/>
      <c r="Z20" s="41"/>
    </row>
    <row r="21" spans="1:26" ht="12.75" customHeight="1" x14ac:dyDescent="0.35">
      <c r="A21" s="52" t="s">
        <v>182</v>
      </c>
      <c r="B21" s="66">
        <v>1100000</v>
      </c>
      <c r="C21" s="41"/>
      <c r="D21" s="41">
        <f t="shared" si="3"/>
        <v>45.833333333333336</v>
      </c>
      <c r="E21" s="49">
        <f t="shared" si="4"/>
        <v>50.416666666666671</v>
      </c>
      <c r="F21" s="65" t="s">
        <v>219</v>
      </c>
      <c r="G21" s="49">
        <f t="shared" si="7"/>
        <v>242.91666666666669</v>
      </c>
      <c r="H21" s="41"/>
      <c r="I21" s="41"/>
      <c r="J21" s="65" t="s">
        <v>220</v>
      </c>
      <c r="K21" s="49">
        <f t="shared" si="6"/>
        <v>411.125</v>
      </c>
      <c r="L21" s="41"/>
      <c r="M21" s="65" t="s">
        <v>222</v>
      </c>
      <c r="N21" s="49">
        <f t="shared" si="5"/>
        <v>24.75</v>
      </c>
      <c r="O21" s="41"/>
      <c r="P21" s="41"/>
      <c r="Q21" s="41"/>
      <c r="R21" s="41"/>
      <c r="S21" s="41"/>
      <c r="T21" s="41"/>
      <c r="U21" s="41"/>
      <c r="V21" s="41"/>
      <c r="W21" s="41"/>
      <c r="X21" s="41"/>
      <c r="Y21" s="41"/>
      <c r="Z21" s="41"/>
    </row>
    <row r="22" spans="1:26" ht="12.75" customHeight="1" x14ac:dyDescent="0.35">
      <c r="A22" s="52" t="s">
        <v>186</v>
      </c>
      <c r="B22" s="67">
        <v>1400000</v>
      </c>
      <c r="C22" s="41"/>
      <c r="D22" s="41">
        <f t="shared" si="3"/>
        <v>58.333333333333336</v>
      </c>
      <c r="E22" s="49">
        <f t="shared" si="4"/>
        <v>64.166666666666671</v>
      </c>
      <c r="F22" s="65" t="s">
        <v>220</v>
      </c>
      <c r="G22" s="49">
        <f t="shared" si="7"/>
        <v>411.125</v>
      </c>
      <c r="H22" s="41"/>
      <c r="I22" s="41"/>
      <c r="J22" s="65" t="s">
        <v>221</v>
      </c>
      <c r="K22" s="49">
        <f t="shared" si="6"/>
        <v>443.4375</v>
      </c>
      <c r="L22" s="41"/>
      <c r="M22" s="65" t="s">
        <v>223</v>
      </c>
      <c r="N22" s="49">
        <f t="shared" si="5"/>
        <v>26.583333333333336</v>
      </c>
      <c r="O22" s="41"/>
      <c r="P22" s="41"/>
      <c r="Q22" s="41"/>
      <c r="R22" s="41"/>
      <c r="S22" s="41"/>
      <c r="T22" s="41"/>
      <c r="U22" s="41"/>
      <c r="V22" s="41"/>
      <c r="W22" s="41"/>
      <c r="X22" s="41"/>
      <c r="Y22" s="41"/>
      <c r="Z22" s="41"/>
    </row>
    <row r="23" spans="1:26" ht="12.75" customHeight="1" x14ac:dyDescent="0.35">
      <c r="A23" s="53" t="s">
        <v>189</v>
      </c>
      <c r="B23" s="66">
        <v>700000</v>
      </c>
      <c r="C23" s="41"/>
      <c r="D23" s="41">
        <f t="shared" si="3"/>
        <v>29.166666666666668</v>
      </c>
      <c r="E23" s="49">
        <f t="shared" si="4"/>
        <v>32.083333333333336</v>
      </c>
      <c r="F23" s="65" t="s">
        <v>221</v>
      </c>
      <c r="G23" s="49">
        <f t="shared" si="7"/>
        <v>443.4375</v>
      </c>
      <c r="H23" s="41"/>
      <c r="I23" s="41"/>
      <c r="J23" s="65" t="s">
        <v>222</v>
      </c>
      <c r="K23" s="49">
        <f t="shared" si="6"/>
        <v>24.75</v>
      </c>
      <c r="L23" s="41"/>
      <c r="M23" s="65" t="s">
        <v>224</v>
      </c>
      <c r="N23" s="49">
        <f t="shared" si="5"/>
        <v>289.57499999999999</v>
      </c>
      <c r="O23" s="41"/>
      <c r="P23" s="41"/>
      <c r="Q23" s="41"/>
      <c r="R23" s="41"/>
      <c r="S23" s="41"/>
      <c r="T23" s="41"/>
      <c r="U23" s="41"/>
      <c r="V23" s="41"/>
      <c r="W23" s="41"/>
      <c r="X23" s="41"/>
      <c r="Y23" s="41"/>
      <c r="Z23" s="41"/>
    </row>
    <row r="24" spans="1:26" ht="12.75" customHeight="1" x14ac:dyDescent="0.35">
      <c r="A24" s="53" t="s">
        <v>192</v>
      </c>
      <c r="B24" s="66">
        <v>800000</v>
      </c>
      <c r="C24" s="41"/>
      <c r="D24" s="41">
        <f t="shared" si="3"/>
        <v>33.333333333333336</v>
      </c>
      <c r="E24" s="49">
        <f t="shared" si="4"/>
        <v>36.666666666666671</v>
      </c>
      <c r="F24" s="65" t="s">
        <v>222</v>
      </c>
      <c r="G24" s="49">
        <f t="shared" si="7"/>
        <v>24.75</v>
      </c>
      <c r="H24" s="41"/>
      <c r="I24" s="41"/>
      <c r="J24" s="65" t="s">
        <v>223</v>
      </c>
      <c r="K24" s="49">
        <f t="shared" si="6"/>
        <v>26.583333333333336</v>
      </c>
      <c r="L24" s="41"/>
      <c r="M24" s="65" t="s">
        <v>225</v>
      </c>
      <c r="N24" s="49">
        <f t="shared" si="5"/>
        <v>300.71249999999998</v>
      </c>
      <c r="O24" s="41"/>
      <c r="P24" s="41"/>
      <c r="Q24" s="41"/>
      <c r="R24" s="41"/>
      <c r="S24" s="41"/>
      <c r="T24" s="41"/>
      <c r="U24" s="41"/>
      <c r="V24" s="41"/>
      <c r="W24" s="41"/>
      <c r="X24" s="41"/>
      <c r="Y24" s="41"/>
      <c r="Z24" s="41"/>
    </row>
    <row r="25" spans="1:26" ht="12.75" customHeight="1" x14ac:dyDescent="0.35">
      <c r="A25" s="53" t="s">
        <v>195</v>
      </c>
      <c r="B25" s="67">
        <v>650000</v>
      </c>
      <c r="C25" s="41"/>
      <c r="D25" s="41">
        <f t="shared" si="3"/>
        <v>27.083333333333332</v>
      </c>
      <c r="E25" s="49">
        <f t="shared" si="4"/>
        <v>29.791666666666664</v>
      </c>
      <c r="F25" s="65" t="s">
        <v>223</v>
      </c>
      <c r="G25" s="49">
        <f t="shared" si="7"/>
        <v>26.583333333333336</v>
      </c>
      <c r="H25" s="41"/>
      <c r="I25" s="41"/>
      <c r="J25" s="65" t="s">
        <v>224</v>
      </c>
      <c r="K25" s="49">
        <f t="shared" si="6"/>
        <v>289.57499999999999</v>
      </c>
      <c r="L25" s="41"/>
      <c r="M25" s="65" t="s">
        <v>226</v>
      </c>
      <c r="N25" s="49">
        <f t="shared" si="5"/>
        <v>229.16666666666669</v>
      </c>
      <c r="O25" s="41"/>
      <c r="P25" s="41"/>
      <c r="Q25" s="41"/>
      <c r="R25" s="41"/>
      <c r="S25" s="41"/>
      <c r="T25" s="41"/>
      <c r="U25" s="41"/>
      <c r="V25" s="41"/>
      <c r="W25" s="41"/>
      <c r="X25" s="41"/>
      <c r="Y25" s="41"/>
      <c r="Z25" s="41"/>
    </row>
    <row r="26" spans="1:26" ht="12.75" customHeight="1" x14ac:dyDescent="0.35">
      <c r="A26" s="53" t="s">
        <v>198</v>
      </c>
      <c r="B26" s="67">
        <v>800000</v>
      </c>
      <c r="C26" s="41"/>
      <c r="D26" s="41">
        <f t="shared" si="3"/>
        <v>33.333333333333336</v>
      </c>
      <c r="E26" s="49">
        <f t="shared" si="4"/>
        <v>36.666666666666671</v>
      </c>
      <c r="F26" s="65" t="s">
        <v>224</v>
      </c>
      <c r="G26" s="49">
        <f t="shared" si="7"/>
        <v>289.57499999999999</v>
      </c>
      <c r="H26" s="41"/>
      <c r="I26" s="41"/>
      <c r="J26" s="65" t="s">
        <v>225</v>
      </c>
      <c r="K26" s="49">
        <f t="shared" si="6"/>
        <v>300.71249999999998</v>
      </c>
      <c r="L26" s="41"/>
      <c r="M26" s="65" t="s">
        <v>227</v>
      </c>
      <c r="N26" s="49">
        <f t="shared" si="5"/>
        <v>242.91666666666669</v>
      </c>
      <c r="O26" s="41"/>
      <c r="P26" s="41"/>
      <c r="Q26" s="41"/>
      <c r="R26" s="41"/>
      <c r="S26" s="41"/>
      <c r="T26" s="41"/>
      <c r="U26" s="41"/>
      <c r="V26" s="41"/>
      <c r="W26" s="41"/>
      <c r="X26" s="41"/>
      <c r="Y26" s="41"/>
      <c r="Z26" s="41"/>
    </row>
    <row r="27" spans="1:26" ht="12.75" customHeight="1" x14ac:dyDescent="0.35">
      <c r="A27" s="53" t="s">
        <v>201</v>
      </c>
      <c r="B27" s="67">
        <v>550000</v>
      </c>
      <c r="C27" s="41"/>
      <c r="D27" s="41">
        <f t="shared" si="3"/>
        <v>22.916666666666668</v>
      </c>
      <c r="E27" s="49">
        <f t="shared" si="4"/>
        <v>25.208333333333336</v>
      </c>
      <c r="F27" s="65" t="s">
        <v>225</v>
      </c>
      <c r="G27" s="49">
        <f t="shared" si="7"/>
        <v>300.71249999999998</v>
      </c>
      <c r="H27" s="41"/>
      <c r="I27" s="41"/>
      <c r="J27" s="65" t="s">
        <v>226</v>
      </c>
      <c r="K27" s="49">
        <f t="shared" si="6"/>
        <v>229.16666666666669</v>
      </c>
      <c r="L27" s="41"/>
      <c r="M27" s="65" t="s">
        <v>228</v>
      </c>
      <c r="N27" s="49">
        <f t="shared" si="5"/>
        <v>245.20833333333331</v>
      </c>
      <c r="O27" s="41"/>
      <c r="P27" s="41"/>
      <c r="Q27" s="41"/>
      <c r="R27" s="41"/>
      <c r="S27" s="41"/>
      <c r="T27" s="41"/>
      <c r="U27" s="41"/>
      <c r="V27" s="41"/>
      <c r="W27" s="41"/>
      <c r="X27" s="41"/>
      <c r="Y27" s="41"/>
      <c r="Z27" s="41"/>
    </row>
    <row r="28" spans="1:26" ht="12.75" customHeight="1" x14ac:dyDescent="0.35">
      <c r="A28" s="53" t="s">
        <v>205</v>
      </c>
      <c r="B28" s="67">
        <v>650000</v>
      </c>
      <c r="C28" s="41"/>
      <c r="D28" s="41">
        <f t="shared" si="3"/>
        <v>27.083333333333332</v>
      </c>
      <c r="E28" s="49">
        <f t="shared" si="4"/>
        <v>29.791666666666664</v>
      </c>
      <c r="F28" s="65" t="s">
        <v>226</v>
      </c>
      <c r="G28" s="49">
        <f t="shared" si="7"/>
        <v>229.16666666666669</v>
      </c>
      <c r="H28" s="41"/>
      <c r="I28" s="41"/>
      <c r="J28" s="65" t="s">
        <v>227</v>
      </c>
      <c r="K28" s="49">
        <f t="shared" si="6"/>
        <v>242.91666666666669</v>
      </c>
      <c r="L28" s="41"/>
      <c r="M28" s="65" t="s">
        <v>229</v>
      </c>
      <c r="N28" s="49">
        <f t="shared" si="5"/>
        <v>267.3</v>
      </c>
      <c r="O28" s="41"/>
      <c r="P28" s="41"/>
      <c r="Q28" s="41"/>
      <c r="R28" s="41"/>
      <c r="S28" s="41"/>
      <c r="T28" s="41"/>
      <c r="U28" s="41"/>
      <c r="V28" s="41"/>
      <c r="W28" s="41"/>
      <c r="X28" s="41"/>
      <c r="Y28" s="41"/>
      <c r="Z28" s="41"/>
    </row>
    <row r="29" spans="1:26" ht="12.75" customHeight="1" x14ac:dyDescent="0.35">
      <c r="A29" s="53" t="s">
        <v>208</v>
      </c>
      <c r="B29" s="67">
        <v>900000</v>
      </c>
      <c r="C29" s="41"/>
      <c r="D29" s="41">
        <f t="shared" si="3"/>
        <v>37.5</v>
      </c>
      <c r="E29" s="49">
        <f t="shared" si="4"/>
        <v>41.25</v>
      </c>
      <c r="F29" s="65" t="s">
        <v>227</v>
      </c>
      <c r="G29" s="49">
        <f t="shared" si="7"/>
        <v>242.91666666666669</v>
      </c>
      <c r="H29" s="41"/>
      <c r="I29" s="41"/>
      <c r="J29" s="65" t="s">
        <v>228</v>
      </c>
      <c r="K29" s="49">
        <f t="shared" si="6"/>
        <v>245.20833333333331</v>
      </c>
      <c r="L29" s="41"/>
      <c r="M29" s="65" t="s">
        <v>230</v>
      </c>
      <c r="N29" s="49">
        <f t="shared" si="5"/>
        <v>267.3</v>
      </c>
      <c r="O29" s="41"/>
      <c r="P29" s="41"/>
      <c r="Q29" s="41"/>
      <c r="R29" s="41"/>
      <c r="S29" s="41"/>
      <c r="T29" s="41"/>
      <c r="U29" s="41"/>
      <c r="V29" s="41"/>
      <c r="W29" s="41"/>
      <c r="X29" s="41"/>
      <c r="Y29" s="41"/>
      <c r="Z29" s="41"/>
    </row>
    <row r="30" spans="1:26" ht="12.75" customHeight="1" x14ac:dyDescent="0.35">
      <c r="A30" s="53" t="s">
        <v>210</v>
      </c>
      <c r="B30" s="66">
        <v>1000000</v>
      </c>
      <c r="C30" s="41"/>
      <c r="D30" s="41">
        <f t="shared" si="3"/>
        <v>41.666666666666664</v>
      </c>
      <c r="E30" s="49">
        <f t="shared" si="4"/>
        <v>45.833333333333329</v>
      </c>
      <c r="F30" s="65" t="s">
        <v>228</v>
      </c>
      <c r="G30" s="49">
        <f t="shared" si="7"/>
        <v>245.20833333333331</v>
      </c>
      <c r="H30" s="41"/>
      <c r="I30" s="41"/>
      <c r="J30" s="65" t="s">
        <v>229</v>
      </c>
      <c r="K30" s="49">
        <f t="shared" si="6"/>
        <v>267.3</v>
      </c>
      <c r="L30" s="41"/>
      <c r="M30" s="65" t="s">
        <v>231</v>
      </c>
      <c r="N30" s="49">
        <f t="shared" si="5"/>
        <v>256.66666666666669</v>
      </c>
      <c r="O30" s="41"/>
      <c r="P30" s="41"/>
      <c r="Q30" s="41"/>
      <c r="R30" s="41"/>
      <c r="S30" s="41"/>
      <c r="T30" s="41"/>
      <c r="U30" s="41"/>
      <c r="V30" s="41"/>
      <c r="W30" s="41"/>
      <c r="X30" s="41"/>
      <c r="Y30" s="41"/>
      <c r="Z30" s="41"/>
    </row>
    <row r="31" spans="1:26" ht="12.75" customHeight="1" x14ac:dyDescent="0.3">
      <c r="A31" s="54"/>
      <c r="B31" s="54"/>
      <c r="C31" s="41"/>
      <c r="D31" s="41">
        <f t="shared" si="3"/>
        <v>0</v>
      </c>
      <c r="E31" s="49">
        <f t="shared" si="4"/>
        <v>0</v>
      </c>
      <c r="F31" s="65" t="s">
        <v>229</v>
      </c>
      <c r="G31" s="49">
        <f t="shared" si="7"/>
        <v>267.3</v>
      </c>
      <c r="H31" s="41"/>
      <c r="I31" s="41"/>
      <c r="J31" s="65" t="s">
        <v>230</v>
      </c>
      <c r="K31" s="49">
        <f t="shared" si="6"/>
        <v>267.3</v>
      </c>
      <c r="L31" s="41"/>
      <c r="M31" s="65" t="s">
        <v>232</v>
      </c>
      <c r="N31" s="49">
        <f t="shared" si="5"/>
        <v>311.66666666666663</v>
      </c>
      <c r="O31" s="41"/>
      <c r="P31" s="41"/>
      <c r="Q31" s="41"/>
      <c r="R31" s="41"/>
      <c r="S31" s="41"/>
      <c r="T31" s="41"/>
      <c r="U31" s="41"/>
      <c r="V31" s="41"/>
      <c r="W31" s="41"/>
      <c r="X31" s="41"/>
      <c r="Y31" s="41"/>
      <c r="Z31" s="41"/>
    </row>
    <row r="32" spans="1:26" ht="12.75" customHeight="1" x14ac:dyDescent="0.35">
      <c r="A32" s="46" t="s">
        <v>176</v>
      </c>
      <c r="B32" s="56" t="s">
        <v>179</v>
      </c>
      <c r="C32" s="41"/>
      <c r="D32" s="41" t="e">
        <f t="shared" si="3"/>
        <v>#VALUE!</v>
      </c>
      <c r="E32" s="49" t="e">
        <f t="shared" si="4"/>
        <v>#VALUE!</v>
      </c>
      <c r="F32" s="65" t="s">
        <v>230</v>
      </c>
      <c r="G32" s="49">
        <f t="shared" si="7"/>
        <v>267.3</v>
      </c>
      <c r="H32" s="41"/>
      <c r="I32" s="41"/>
      <c r="J32" s="65" t="s">
        <v>231</v>
      </c>
      <c r="K32" s="49">
        <f t="shared" si="6"/>
        <v>256.66666666666669</v>
      </c>
      <c r="L32" s="41"/>
      <c r="M32" s="65" t="s">
        <v>233</v>
      </c>
      <c r="N32" s="49">
        <f t="shared" si="5"/>
        <v>222.75</v>
      </c>
      <c r="O32" s="41"/>
      <c r="P32" s="41"/>
      <c r="Q32" s="41"/>
      <c r="R32" s="41"/>
      <c r="S32" s="41"/>
      <c r="T32" s="41"/>
      <c r="U32" s="41"/>
      <c r="V32" s="41"/>
      <c r="W32" s="41"/>
      <c r="X32" s="41"/>
      <c r="Y32" s="41"/>
      <c r="Z32" s="41"/>
    </row>
    <row r="33" spans="1:26" ht="12.75" customHeight="1" x14ac:dyDescent="0.35">
      <c r="A33" s="52"/>
      <c r="B33" s="57">
        <v>0</v>
      </c>
      <c r="C33" s="41"/>
      <c r="D33" s="41">
        <f t="shared" si="3"/>
        <v>0</v>
      </c>
      <c r="E33" s="49">
        <f t="shared" si="4"/>
        <v>0</v>
      </c>
      <c r="F33" s="65" t="s">
        <v>231</v>
      </c>
      <c r="G33" s="49">
        <f t="shared" si="7"/>
        <v>256.66666666666669</v>
      </c>
      <c r="H33" s="41"/>
      <c r="I33" s="41"/>
      <c r="J33" s="65" t="s">
        <v>232</v>
      </c>
      <c r="K33" s="49">
        <f t="shared" si="6"/>
        <v>311.66666666666663</v>
      </c>
      <c r="L33" s="41"/>
      <c r="M33" s="65" t="s">
        <v>234</v>
      </c>
      <c r="N33" s="49">
        <f t="shared" si="5"/>
        <v>289.57499999999999</v>
      </c>
      <c r="O33" s="41"/>
      <c r="P33" s="41"/>
      <c r="Q33" s="41"/>
      <c r="R33" s="41"/>
      <c r="S33" s="41"/>
      <c r="T33" s="41"/>
      <c r="U33" s="41"/>
      <c r="V33" s="41"/>
      <c r="W33" s="41"/>
      <c r="X33" s="41"/>
      <c r="Y33" s="41"/>
      <c r="Z33" s="41"/>
    </row>
    <row r="34" spans="1:26" ht="12.75" customHeight="1" x14ac:dyDescent="0.35">
      <c r="A34" s="53" t="s">
        <v>235</v>
      </c>
      <c r="B34" s="57">
        <v>1850000</v>
      </c>
      <c r="C34" s="41"/>
      <c r="D34" s="41">
        <f t="shared" si="3"/>
        <v>77.083333333333329</v>
      </c>
      <c r="E34" s="49">
        <f t="shared" si="4"/>
        <v>84.791666666666657</v>
      </c>
      <c r="F34" s="65" t="s">
        <v>232</v>
      </c>
      <c r="G34" s="49">
        <f t="shared" si="7"/>
        <v>311.66666666666663</v>
      </c>
      <c r="H34" s="41"/>
      <c r="I34" s="41"/>
      <c r="J34" s="65" t="s">
        <v>233</v>
      </c>
      <c r="K34" s="49">
        <f t="shared" si="6"/>
        <v>222.75</v>
      </c>
      <c r="L34" s="41"/>
      <c r="M34" s="68" t="s">
        <v>236</v>
      </c>
      <c r="N34" s="49">
        <f t="shared" si="5"/>
        <v>220</v>
      </c>
      <c r="O34" s="41"/>
      <c r="P34" s="41"/>
      <c r="Q34" s="41"/>
      <c r="R34" s="41"/>
      <c r="S34" s="41"/>
      <c r="T34" s="41"/>
      <c r="U34" s="41"/>
      <c r="V34" s="41"/>
      <c r="W34" s="41"/>
      <c r="X34" s="41"/>
      <c r="Y34" s="41"/>
      <c r="Z34" s="41"/>
    </row>
    <row r="35" spans="1:26" ht="12.75" customHeight="1" x14ac:dyDescent="0.35">
      <c r="A35" s="45" t="s">
        <v>188</v>
      </c>
      <c r="B35" s="56">
        <v>2900000</v>
      </c>
      <c r="C35" s="41"/>
      <c r="D35" s="41">
        <f t="shared" si="3"/>
        <v>120.83333333333333</v>
      </c>
      <c r="E35" s="49">
        <f t="shared" si="4"/>
        <v>132.91666666666666</v>
      </c>
      <c r="F35" s="65" t="s">
        <v>233</v>
      </c>
      <c r="G35" s="49">
        <f t="shared" si="7"/>
        <v>222.75</v>
      </c>
      <c r="H35" s="41"/>
      <c r="I35" s="41"/>
      <c r="J35" s="65" t="s">
        <v>234</v>
      </c>
      <c r="K35" s="49">
        <f t="shared" si="6"/>
        <v>289.57499999999999</v>
      </c>
      <c r="L35" s="41"/>
      <c r="M35" s="68" t="s">
        <v>237</v>
      </c>
      <c r="N35" s="49">
        <f t="shared" si="5"/>
        <v>247.5</v>
      </c>
      <c r="O35" s="41"/>
      <c r="P35" s="41"/>
      <c r="Q35" s="41"/>
      <c r="R35" s="41"/>
      <c r="S35" s="41"/>
      <c r="T35" s="41"/>
      <c r="U35" s="41"/>
      <c r="V35" s="41"/>
      <c r="W35" s="41"/>
      <c r="X35" s="41"/>
      <c r="Y35" s="41"/>
      <c r="Z35" s="41"/>
    </row>
    <row r="36" spans="1:26" ht="12.75" customHeight="1" x14ac:dyDescent="0.35">
      <c r="A36" s="45" t="s">
        <v>191</v>
      </c>
      <c r="B36" s="56">
        <v>2500000</v>
      </c>
      <c r="C36" s="41"/>
      <c r="D36" s="41">
        <f t="shared" si="3"/>
        <v>104.16666666666667</v>
      </c>
      <c r="E36" s="49">
        <f t="shared" si="4"/>
        <v>114.58333333333334</v>
      </c>
      <c r="F36" s="65" t="s">
        <v>234</v>
      </c>
      <c r="G36" s="49">
        <f t="shared" si="7"/>
        <v>289.57499999999999</v>
      </c>
      <c r="H36" s="41"/>
      <c r="I36" s="41"/>
      <c r="J36" s="68" t="s">
        <v>236</v>
      </c>
      <c r="K36" s="49">
        <f t="shared" si="6"/>
        <v>220</v>
      </c>
      <c r="L36" s="41"/>
      <c r="M36" s="68" t="s">
        <v>238</v>
      </c>
      <c r="N36" s="49">
        <f t="shared" si="5"/>
        <v>247.5</v>
      </c>
      <c r="O36" s="41"/>
      <c r="P36" s="41"/>
      <c r="Q36" s="41"/>
      <c r="R36" s="41"/>
      <c r="S36" s="41"/>
      <c r="T36" s="41"/>
      <c r="U36" s="41"/>
      <c r="V36" s="41"/>
      <c r="W36" s="41"/>
      <c r="X36" s="41"/>
      <c r="Y36" s="41"/>
      <c r="Z36" s="41"/>
    </row>
    <row r="37" spans="1:26" ht="12.75" customHeight="1" x14ac:dyDescent="0.35">
      <c r="A37" s="53" t="s">
        <v>194</v>
      </c>
      <c r="B37" s="57">
        <v>3600000</v>
      </c>
      <c r="C37" s="41"/>
      <c r="D37" s="41">
        <f t="shared" si="3"/>
        <v>150</v>
      </c>
      <c r="E37" s="49">
        <f t="shared" si="4"/>
        <v>165</v>
      </c>
      <c r="F37" s="68" t="s">
        <v>236</v>
      </c>
      <c r="G37" s="49">
        <f t="shared" si="7"/>
        <v>220</v>
      </c>
      <c r="H37" s="41"/>
      <c r="I37" s="41"/>
      <c r="J37" s="68" t="s">
        <v>237</v>
      </c>
      <c r="K37" s="49">
        <f t="shared" si="6"/>
        <v>247.5</v>
      </c>
      <c r="L37" s="41"/>
      <c r="M37" s="68" t="s">
        <v>239</v>
      </c>
      <c r="N37" s="49">
        <f t="shared" si="5"/>
        <v>293.33333333333337</v>
      </c>
      <c r="O37" s="41"/>
      <c r="P37" s="41"/>
      <c r="Q37" s="41"/>
      <c r="R37" s="41"/>
      <c r="S37" s="41"/>
      <c r="T37" s="41"/>
      <c r="U37" s="41"/>
      <c r="V37" s="41"/>
      <c r="W37" s="41"/>
      <c r="X37" s="41"/>
      <c r="Y37" s="41"/>
      <c r="Z37" s="41"/>
    </row>
    <row r="38" spans="1:26" ht="12.75" customHeight="1" x14ac:dyDescent="0.35">
      <c r="A38" s="53" t="s">
        <v>197</v>
      </c>
      <c r="B38" s="57">
        <v>4200000</v>
      </c>
      <c r="C38" s="41"/>
      <c r="D38" s="41">
        <f t="shared" si="3"/>
        <v>175</v>
      </c>
      <c r="E38" s="49">
        <f t="shared" si="4"/>
        <v>192.5</v>
      </c>
      <c r="F38" s="68" t="s">
        <v>237</v>
      </c>
      <c r="G38" s="49">
        <f t="shared" si="7"/>
        <v>247.5</v>
      </c>
      <c r="H38" s="41"/>
      <c r="I38" s="41"/>
      <c r="J38" s="68" t="s">
        <v>238</v>
      </c>
      <c r="K38" s="49">
        <f t="shared" si="6"/>
        <v>247.5</v>
      </c>
      <c r="L38" s="41"/>
      <c r="M38" s="68" t="s">
        <v>240</v>
      </c>
      <c r="N38" s="49">
        <f t="shared" si="5"/>
        <v>201.66666666666669</v>
      </c>
      <c r="O38" s="41"/>
      <c r="P38" s="41"/>
      <c r="Q38" s="41"/>
      <c r="R38" s="41"/>
      <c r="S38" s="41"/>
      <c r="T38" s="41"/>
      <c r="U38" s="41"/>
      <c r="V38" s="41"/>
      <c r="W38" s="41"/>
      <c r="X38" s="41"/>
      <c r="Y38" s="41"/>
      <c r="Z38" s="41"/>
    </row>
    <row r="39" spans="1:26" ht="12.75" customHeight="1" x14ac:dyDescent="0.3">
      <c r="A39" s="53" t="s">
        <v>200</v>
      </c>
      <c r="B39" s="69">
        <v>3480000</v>
      </c>
      <c r="C39" s="41"/>
      <c r="D39" s="41">
        <f t="shared" si="3"/>
        <v>145</v>
      </c>
      <c r="E39" s="49">
        <f t="shared" si="4"/>
        <v>159.5</v>
      </c>
      <c r="F39" s="68" t="s">
        <v>238</v>
      </c>
      <c r="G39" s="49">
        <f t="shared" si="7"/>
        <v>247.5</v>
      </c>
      <c r="H39" s="41"/>
      <c r="I39" s="41"/>
      <c r="J39" s="68" t="s">
        <v>239</v>
      </c>
      <c r="K39" s="49">
        <f t="shared" si="6"/>
        <v>293.33333333333337</v>
      </c>
      <c r="L39" s="41"/>
      <c r="M39" s="68" t="s">
        <v>241</v>
      </c>
      <c r="N39" s="49">
        <f t="shared" si="5"/>
        <v>229.16666666666669</v>
      </c>
      <c r="O39" s="41"/>
      <c r="P39" s="41"/>
      <c r="Q39" s="41"/>
      <c r="R39" s="41"/>
      <c r="S39" s="41"/>
      <c r="T39" s="41"/>
      <c r="U39" s="41"/>
      <c r="V39" s="41"/>
      <c r="W39" s="41"/>
      <c r="X39" s="41"/>
      <c r="Y39" s="41"/>
      <c r="Z39" s="41"/>
    </row>
    <row r="40" spans="1:26" ht="12.75" customHeight="1" x14ac:dyDescent="0.3">
      <c r="A40" s="53" t="s">
        <v>204</v>
      </c>
      <c r="B40" s="69">
        <v>5040000</v>
      </c>
      <c r="C40" s="41"/>
      <c r="D40" s="41">
        <f t="shared" si="3"/>
        <v>210</v>
      </c>
      <c r="E40" s="49">
        <f t="shared" si="4"/>
        <v>231</v>
      </c>
      <c r="F40" s="68" t="s">
        <v>239</v>
      </c>
      <c r="G40" s="49">
        <f t="shared" si="7"/>
        <v>293.33333333333337</v>
      </c>
      <c r="H40" s="41"/>
      <c r="I40" s="41"/>
      <c r="J40" s="68" t="s">
        <v>240</v>
      </c>
      <c r="K40" s="49">
        <f t="shared" si="6"/>
        <v>201.66666666666669</v>
      </c>
      <c r="L40" s="41"/>
      <c r="M40" s="68" t="s">
        <v>238</v>
      </c>
      <c r="N40" s="49">
        <f t="shared" si="5"/>
        <v>229.16666666666669</v>
      </c>
      <c r="O40" s="41"/>
      <c r="P40" s="41"/>
      <c r="Q40" s="41"/>
      <c r="R40" s="41"/>
      <c r="S40" s="41"/>
      <c r="T40" s="41"/>
      <c r="U40" s="41"/>
      <c r="V40" s="41"/>
      <c r="W40" s="41"/>
      <c r="X40" s="41"/>
      <c r="Y40" s="41"/>
      <c r="Z40" s="41"/>
    </row>
    <row r="41" spans="1:26" ht="12.75" customHeight="1" x14ac:dyDescent="0.3">
      <c r="A41" s="53" t="s">
        <v>207</v>
      </c>
      <c r="B41" s="69">
        <v>7800000</v>
      </c>
      <c r="C41" s="41"/>
      <c r="D41" s="41">
        <f t="shared" si="3"/>
        <v>325</v>
      </c>
      <c r="E41" s="49">
        <f t="shared" si="4"/>
        <v>357.5</v>
      </c>
      <c r="F41" s="68" t="s">
        <v>240</v>
      </c>
      <c r="G41" s="49">
        <f t="shared" si="7"/>
        <v>201.66666666666669</v>
      </c>
      <c r="H41" s="41"/>
      <c r="I41" s="41"/>
      <c r="J41" s="68" t="s">
        <v>241</v>
      </c>
      <c r="K41" s="49">
        <f t="shared" si="6"/>
        <v>229.16666666666669</v>
      </c>
      <c r="L41" s="41"/>
      <c r="M41" s="68" t="s">
        <v>239</v>
      </c>
      <c r="N41" s="49">
        <f t="shared" si="5"/>
        <v>275</v>
      </c>
      <c r="O41" s="41"/>
      <c r="P41" s="41"/>
      <c r="Q41" s="41"/>
      <c r="R41" s="41"/>
      <c r="S41" s="41"/>
      <c r="T41" s="41"/>
      <c r="U41" s="41"/>
      <c r="V41" s="41"/>
      <c r="W41" s="41"/>
      <c r="X41" s="41"/>
      <c r="Y41" s="41"/>
      <c r="Z41" s="41"/>
    </row>
    <row r="42" spans="1:26" ht="12.75" customHeight="1" x14ac:dyDescent="0.3">
      <c r="A42" s="53" t="s">
        <v>209</v>
      </c>
      <c r="B42" s="69">
        <v>8400000</v>
      </c>
      <c r="C42" s="41"/>
      <c r="D42" s="41">
        <f t="shared" si="3"/>
        <v>350</v>
      </c>
      <c r="E42" s="49">
        <f t="shared" si="4"/>
        <v>385</v>
      </c>
      <c r="F42" s="68" t="s">
        <v>241</v>
      </c>
      <c r="G42" s="49">
        <f t="shared" si="7"/>
        <v>229.16666666666669</v>
      </c>
      <c r="H42" s="41"/>
      <c r="I42" s="41"/>
      <c r="J42" s="68" t="s">
        <v>238</v>
      </c>
      <c r="K42" s="49">
        <f t="shared" si="6"/>
        <v>229.16666666666669</v>
      </c>
      <c r="L42" s="41"/>
      <c r="M42" s="70" t="s">
        <v>242</v>
      </c>
      <c r="N42" s="49">
        <f t="shared" si="5"/>
        <v>220</v>
      </c>
      <c r="O42" s="41"/>
      <c r="P42" s="41"/>
      <c r="Q42" s="41"/>
      <c r="R42" s="41"/>
      <c r="S42" s="41"/>
      <c r="T42" s="41"/>
      <c r="U42" s="41"/>
      <c r="V42" s="41"/>
      <c r="W42" s="41"/>
      <c r="X42" s="41"/>
      <c r="Y42" s="41"/>
      <c r="Z42" s="41"/>
    </row>
    <row r="43" spans="1:26" ht="12.75" customHeight="1" x14ac:dyDescent="0.35">
      <c r="A43" s="53" t="s">
        <v>212</v>
      </c>
      <c r="B43" s="57">
        <v>2045000</v>
      </c>
      <c r="C43" s="41"/>
      <c r="D43" s="41">
        <f t="shared" si="3"/>
        <v>85.208333333333329</v>
      </c>
      <c r="E43" s="49">
        <f t="shared" si="4"/>
        <v>93.729166666666657</v>
      </c>
      <c r="F43" s="68" t="s">
        <v>238</v>
      </c>
      <c r="G43" s="49">
        <f t="shared" si="7"/>
        <v>229.16666666666669</v>
      </c>
      <c r="H43" s="41"/>
      <c r="I43" s="41"/>
      <c r="J43" s="68" t="s">
        <v>239</v>
      </c>
      <c r="K43" s="49">
        <f t="shared" si="6"/>
        <v>275</v>
      </c>
      <c r="L43" s="41"/>
      <c r="M43" s="68" t="s">
        <v>243</v>
      </c>
      <c r="N43" s="49">
        <f t="shared" si="5"/>
        <v>238.33333333333331</v>
      </c>
      <c r="O43" s="41"/>
      <c r="P43" s="41"/>
      <c r="Q43" s="41"/>
      <c r="R43" s="41"/>
      <c r="S43" s="41"/>
      <c r="T43" s="41"/>
      <c r="U43" s="41"/>
      <c r="V43" s="41"/>
      <c r="W43" s="41"/>
      <c r="X43" s="41"/>
      <c r="Y43" s="41"/>
      <c r="Z43" s="41"/>
    </row>
    <row r="44" spans="1:26" ht="12.75" customHeight="1" x14ac:dyDescent="0.35">
      <c r="A44" s="45" t="s">
        <v>214</v>
      </c>
      <c r="B44" s="57">
        <v>3810000</v>
      </c>
      <c r="C44" s="41"/>
      <c r="D44" s="41">
        <f t="shared" si="3"/>
        <v>158.75</v>
      </c>
      <c r="E44" s="49">
        <f t="shared" si="4"/>
        <v>174.625</v>
      </c>
      <c r="F44" s="68" t="s">
        <v>239</v>
      </c>
      <c r="G44" s="49">
        <f t="shared" si="7"/>
        <v>275</v>
      </c>
      <c r="H44" s="41"/>
      <c r="I44" s="41"/>
      <c r="J44" s="70" t="s">
        <v>242</v>
      </c>
      <c r="K44" s="49">
        <f t="shared" si="6"/>
        <v>220</v>
      </c>
      <c r="L44" s="41"/>
      <c r="M44" s="68" t="s">
        <v>244</v>
      </c>
      <c r="N44" s="49">
        <f t="shared" si="5"/>
        <v>238.33333333333331</v>
      </c>
      <c r="O44" s="41"/>
      <c r="P44" s="41"/>
      <c r="Q44" s="41"/>
      <c r="R44" s="41"/>
      <c r="S44" s="41"/>
      <c r="T44" s="41"/>
      <c r="U44" s="41"/>
      <c r="V44" s="41"/>
      <c r="W44" s="41"/>
      <c r="X44" s="41"/>
      <c r="Y44" s="41"/>
      <c r="Z44" s="41"/>
    </row>
    <row r="45" spans="1:26" ht="12.75" customHeight="1" x14ac:dyDescent="0.3">
      <c r="A45" s="41"/>
      <c r="B45" s="41"/>
      <c r="C45" s="41"/>
      <c r="D45" s="41">
        <f t="shared" si="3"/>
        <v>0</v>
      </c>
      <c r="E45" s="49">
        <f t="shared" si="4"/>
        <v>0</v>
      </c>
      <c r="F45" s="70" t="s">
        <v>242</v>
      </c>
      <c r="G45" s="49">
        <f t="shared" si="7"/>
        <v>220</v>
      </c>
      <c r="H45" s="41"/>
      <c r="I45" s="41"/>
      <c r="J45" s="68" t="s">
        <v>243</v>
      </c>
      <c r="K45" s="49">
        <f t="shared" si="6"/>
        <v>238.33333333333331</v>
      </c>
      <c r="L45" s="41"/>
      <c r="M45" s="68" t="s">
        <v>245</v>
      </c>
      <c r="N45" s="49">
        <f t="shared" si="5"/>
        <v>256.66666666666669</v>
      </c>
      <c r="O45" s="41"/>
      <c r="P45" s="41"/>
      <c r="Q45" s="41"/>
      <c r="R45" s="41"/>
      <c r="S45" s="41"/>
      <c r="T45" s="41"/>
      <c r="U45" s="41"/>
      <c r="V45" s="41"/>
      <c r="W45" s="41"/>
      <c r="X45" s="41"/>
      <c r="Y45" s="41"/>
      <c r="Z45" s="41"/>
    </row>
    <row r="46" spans="1:26" ht="12.75" customHeight="1" x14ac:dyDescent="0.3">
      <c r="A46" s="61" t="s">
        <v>11</v>
      </c>
      <c r="B46" s="41"/>
      <c r="C46" s="41"/>
      <c r="D46" s="41">
        <f t="shared" si="3"/>
        <v>0</v>
      </c>
      <c r="E46" s="49">
        <f t="shared" si="4"/>
        <v>0</v>
      </c>
      <c r="F46" s="68" t="s">
        <v>243</v>
      </c>
      <c r="G46" s="49">
        <f t="shared" si="7"/>
        <v>238.33333333333331</v>
      </c>
      <c r="H46" s="41"/>
      <c r="I46" s="41"/>
      <c r="J46" s="68" t="s">
        <v>244</v>
      </c>
      <c r="K46" s="49">
        <f t="shared" si="6"/>
        <v>238.33333333333331</v>
      </c>
      <c r="L46" s="41"/>
      <c r="M46" s="65" t="s">
        <v>246</v>
      </c>
      <c r="N46" s="49">
        <f t="shared" si="5"/>
        <v>229.16666666666669</v>
      </c>
      <c r="O46" s="41"/>
      <c r="P46" s="41"/>
      <c r="Q46" s="41"/>
      <c r="R46" s="41"/>
      <c r="S46" s="41"/>
      <c r="T46" s="41"/>
      <c r="U46" s="41"/>
      <c r="V46" s="41"/>
      <c r="W46" s="41"/>
      <c r="X46" s="41"/>
      <c r="Y46" s="41"/>
      <c r="Z46" s="41"/>
    </row>
    <row r="47" spans="1:26" ht="12.75" customHeight="1" x14ac:dyDescent="0.35">
      <c r="A47" s="63" t="s">
        <v>216</v>
      </c>
      <c r="B47" s="71">
        <v>8020000</v>
      </c>
      <c r="C47" s="41"/>
      <c r="D47" s="41">
        <f t="shared" si="3"/>
        <v>334.16666666666669</v>
      </c>
      <c r="E47" s="49">
        <f t="shared" si="4"/>
        <v>367.58333333333337</v>
      </c>
      <c r="F47" s="68" t="s">
        <v>244</v>
      </c>
      <c r="G47" s="49">
        <f t="shared" si="7"/>
        <v>238.33333333333331</v>
      </c>
      <c r="H47" s="41"/>
      <c r="I47" s="41"/>
      <c r="J47" s="68" t="s">
        <v>245</v>
      </c>
      <c r="K47" s="49">
        <f t="shared" si="6"/>
        <v>256.66666666666669</v>
      </c>
      <c r="L47" s="41"/>
      <c r="M47" s="65" t="s">
        <v>247</v>
      </c>
      <c r="N47" s="49">
        <f t="shared" si="5"/>
        <v>247.5</v>
      </c>
      <c r="O47" s="41"/>
      <c r="P47" s="41"/>
      <c r="Q47" s="41"/>
      <c r="R47" s="41"/>
      <c r="S47" s="41"/>
      <c r="T47" s="41"/>
      <c r="U47" s="41"/>
      <c r="V47" s="41"/>
      <c r="W47" s="41"/>
      <c r="X47" s="41"/>
      <c r="Y47" s="41"/>
      <c r="Z47" s="41"/>
    </row>
    <row r="48" spans="1:26" ht="12.75" customHeight="1" x14ac:dyDescent="0.35">
      <c r="A48" s="63" t="s">
        <v>217</v>
      </c>
      <c r="B48" s="71">
        <v>8991000</v>
      </c>
      <c r="C48" s="41"/>
      <c r="D48" s="41">
        <f t="shared" si="3"/>
        <v>374.625</v>
      </c>
      <c r="E48" s="49">
        <f t="shared" si="4"/>
        <v>412.08749999999998</v>
      </c>
      <c r="F48" s="68" t="s">
        <v>245</v>
      </c>
      <c r="G48" s="49">
        <f t="shared" si="7"/>
        <v>256.66666666666669</v>
      </c>
      <c r="H48" s="41"/>
      <c r="I48" s="41"/>
      <c r="J48" s="65" t="s">
        <v>246</v>
      </c>
      <c r="K48" s="49">
        <f t="shared" si="6"/>
        <v>229.16666666666669</v>
      </c>
      <c r="L48" s="41"/>
      <c r="M48" s="65" t="s">
        <v>248</v>
      </c>
      <c r="N48" s="49">
        <f t="shared" si="5"/>
        <v>192.5</v>
      </c>
      <c r="O48" s="41"/>
      <c r="P48" s="41"/>
      <c r="Q48" s="41"/>
      <c r="R48" s="41"/>
      <c r="S48" s="41"/>
      <c r="T48" s="41"/>
      <c r="U48" s="41"/>
      <c r="V48" s="41"/>
      <c r="W48" s="41"/>
      <c r="X48" s="41"/>
      <c r="Y48" s="41"/>
      <c r="Z48" s="41"/>
    </row>
    <row r="49" spans="1:26" ht="12.75" customHeight="1" x14ac:dyDescent="0.35">
      <c r="A49" s="65" t="s">
        <v>218</v>
      </c>
      <c r="B49" s="71">
        <v>5000000</v>
      </c>
      <c r="C49" s="41"/>
      <c r="D49" s="41">
        <f t="shared" si="3"/>
        <v>208.33333333333334</v>
      </c>
      <c r="E49" s="49">
        <f t="shared" si="4"/>
        <v>229.16666666666669</v>
      </c>
      <c r="F49" s="65" t="s">
        <v>246</v>
      </c>
      <c r="G49" s="49">
        <f t="shared" si="7"/>
        <v>229.16666666666669</v>
      </c>
      <c r="H49" s="41"/>
      <c r="I49" s="41"/>
      <c r="J49" s="65" t="s">
        <v>247</v>
      </c>
      <c r="K49" s="49">
        <f t="shared" si="6"/>
        <v>247.5</v>
      </c>
      <c r="L49" s="41"/>
      <c r="M49" s="65" t="s">
        <v>249</v>
      </c>
      <c r="N49" s="49">
        <f t="shared" si="5"/>
        <v>201.66666666666669</v>
      </c>
      <c r="O49" s="41"/>
      <c r="P49" s="41"/>
      <c r="Q49" s="41"/>
      <c r="R49" s="41"/>
      <c r="S49" s="41"/>
      <c r="T49" s="41"/>
      <c r="U49" s="41"/>
      <c r="V49" s="41"/>
      <c r="W49" s="41"/>
      <c r="X49" s="41"/>
      <c r="Y49" s="41"/>
      <c r="Z49" s="41"/>
    </row>
    <row r="50" spans="1:26" ht="12.75" customHeight="1" x14ac:dyDescent="0.3">
      <c r="A50" s="65" t="s">
        <v>219</v>
      </c>
      <c r="B50" s="72">
        <v>5300000</v>
      </c>
      <c r="C50" s="41"/>
      <c r="D50" s="41">
        <f t="shared" si="3"/>
        <v>220.83333333333334</v>
      </c>
      <c r="E50" s="49">
        <f t="shared" si="4"/>
        <v>242.91666666666669</v>
      </c>
      <c r="F50" s="65" t="s">
        <v>247</v>
      </c>
      <c r="G50" s="49">
        <f t="shared" si="7"/>
        <v>247.5</v>
      </c>
      <c r="H50" s="41"/>
      <c r="I50" s="41"/>
      <c r="J50" s="65" t="s">
        <v>248</v>
      </c>
      <c r="K50" s="49">
        <f t="shared" si="6"/>
        <v>192.5</v>
      </c>
      <c r="L50" s="41"/>
      <c r="M50" s="65" t="s">
        <v>250</v>
      </c>
      <c r="N50" s="49">
        <f t="shared" si="5"/>
        <v>302.5</v>
      </c>
      <c r="O50" s="41"/>
      <c r="P50" s="41"/>
      <c r="Q50" s="41"/>
      <c r="R50" s="41"/>
      <c r="S50" s="41"/>
      <c r="T50" s="41"/>
      <c r="U50" s="41"/>
      <c r="V50" s="41"/>
      <c r="W50" s="41"/>
      <c r="X50" s="41"/>
      <c r="Y50" s="41"/>
      <c r="Z50" s="41"/>
    </row>
    <row r="51" spans="1:26" ht="12.75" customHeight="1" x14ac:dyDescent="0.35">
      <c r="A51" s="65" t="s">
        <v>220</v>
      </c>
      <c r="B51" s="71">
        <v>8970000</v>
      </c>
      <c r="C51" s="41"/>
      <c r="D51" s="41">
        <f t="shared" si="3"/>
        <v>373.75</v>
      </c>
      <c r="E51" s="49">
        <f t="shared" si="4"/>
        <v>411.125</v>
      </c>
      <c r="F51" s="65" t="s">
        <v>248</v>
      </c>
      <c r="G51" s="49">
        <f t="shared" si="7"/>
        <v>192.5</v>
      </c>
      <c r="H51" s="41"/>
      <c r="I51" s="41"/>
      <c r="J51" s="65" t="s">
        <v>249</v>
      </c>
      <c r="K51" s="49">
        <f t="shared" si="6"/>
        <v>201.66666666666669</v>
      </c>
      <c r="L51" s="41"/>
      <c r="M51" s="65" t="s">
        <v>251</v>
      </c>
      <c r="N51" s="49">
        <f t="shared" si="5"/>
        <v>325.41666666666663</v>
      </c>
      <c r="O51" s="41"/>
      <c r="P51" s="41"/>
      <c r="Q51" s="41"/>
      <c r="R51" s="41"/>
      <c r="S51" s="41"/>
      <c r="T51" s="41"/>
      <c r="U51" s="41"/>
      <c r="V51" s="41"/>
      <c r="W51" s="41"/>
      <c r="X51" s="41"/>
      <c r="Y51" s="41"/>
      <c r="Z51" s="41"/>
    </row>
    <row r="52" spans="1:26" ht="12.75" customHeight="1" x14ac:dyDescent="0.35">
      <c r="A52" s="65" t="s">
        <v>221</v>
      </c>
      <c r="B52" s="71">
        <v>9675000</v>
      </c>
      <c r="C52" s="41"/>
      <c r="D52" s="41">
        <f t="shared" si="3"/>
        <v>403.125</v>
      </c>
      <c r="E52" s="49">
        <f t="shared" si="4"/>
        <v>443.4375</v>
      </c>
      <c r="F52" s="65" t="s">
        <v>249</v>
      </c>
      <c r="G52" s="49">
        <f t="shared" si="7"/>
        <v>201.66666666666669</v>
      </c>
      <c r="H52" s="41"/>
      <c r="I52" s="41"/>
      <c r="J52" s="65" t="s">
        <v>250</v>
      </c>
      <c r="K52" s="49">
        <f t="shared" si="6"/>
        <v>302.5</v>
      </c>
      <c r="L52" s="41"/>
      <c r="M52" s="65" t="s">
        <v>252</v>
      </c>
      <c r="N52" s="49">
        <f t="shared" si="5"/>
        <v>293.33333333333337</v>
      </c>
      <c r="O52" s="41"/>
      <c r="P52" s="41"/>
      <c r="Q52" s="41"/>
      <c r="R52" s="41"/>
      <c r="S52" s="41"/>
      <c r="T52" s="41"/>
      <c r="U52" s="41"/>
      <c r="V52" s="41"/>
      <c r="W52" s="41"/>
      <c r="X52" s="41"/>
      <c r="Y52" s="41"/>
      <c r="Z52" s="41"/>
    </row>
    <row r="53" spans="1:26" ht="12.75" customHeight="1" x14ac:dyDescent="0.3">
      <c r="A53" s="65" t="s">
        <v>222</v>
      </c>
      <c r="B53" s="73">
        <v>540000</v>
      </c>
      <c r="C53" s="41"/>
      <c r="D53" s="41">
        <f t="shared" si="3"/>
        <v>22.5</v>
      </c>
      <c r="E53" s="49">
        <f t="shared" si="4"/>
        <v>24.75</v>
      </c>
      <c r="F53" s="65" t="s">
        <v>250</v>
      </c>
      <c r="G53" s="49">
        <f t="shared" si="7"/>
        <v>302.5</v>
      </c>
      <c r="H53" s="41"/>
      <c r="I53" s="41"/>
      <c r="J53" s="65" t="s">
        <v>251</v>
      </c>
      <c r="K53" s="49">
        <f t="shared" si="6"/>
        <v>325.41666666666663</v>
      </c>
      <c r="L53" s="41"/>
      <c r="M53" s="65" t="s">
        <v>253</v>
      </c>
      <c r="N53" s="49">
        <f t="shared" si="5"/>
        <v>316.25</v>
      </c>
      <c r="O53" s="41"/>
      <c r="P53" s="41"/>
      <c r="Q53" s="41"/>
      <c r="R53" s="41"/>
      <c r="S53" s="41"/>
      <c r="T53" s="41"/>
      <c r="U53" s="41"/>
      <c r="V53" s="41"/>
      <c r="W53" s="41"/>
      <c r="X53" s="41"/>
      <c r="Y53" s="41"/>
      <c r="Z53" s="41"/>
    </row>
    <row r="54" spans="1:26" ht="12.75" customHeight="1" x14ac:dyDescent="0.3">
      <c r="A54" s="65" t="s">
        <v>223</v>
      </c>
      <c r="B54" s="73">
        <v>580000</v>
      </c>
      <c r="C54" s="41"/>
      <c r="D54" s="41">
        <f t="shared" si="3"/>
        <v>24.166666666666668</v>
      </c>
      <c r="E54" s="49">
        <f t="shared" si="4"/>
        <v>26.583333333333336</v>
      </c>
      <c r="F54" s="65" t="s">
        <v>251</v>
      </c>
      <c r="G54" s="49">
        <f t="shared" si="7"/>
        <v>325.41666666666663</v>
      </c>
      <c r="H54" s="41"/>
      <c r="I54" s="41"/>
      <c r="J54" s="65" t="s">
        <v>252</v>
      </c>
      <c r="K54" s="49">
        <f t="shared" si="6"/>
        <v>293.33333333333337</v>
      </c>
      <c r="L54" s="41"/>
      <c r="M54" s="65" t="s">
        <v>254</v>
      </c>
      <c r="N54" s="49">
        <f t="shared" si="5"/>
        <v>247.5</v>
      </c>
      <c r="O54" s="41"/>
      <c r="P54" s="41"/>
      <c r="Q54" s="41"/>
      <c r="R54" s="41"/>
      <c r="S54" s="41"/>
      <c r="T54" s="41"/>
      <c r="U54" s="41"/>
      <c r="V54" s="41"/>
      <c r="W54" s="41"/>
      <c r="X54" s="41"/>
      <c r="Y54" s="41"/>
      <c r="Z54" s="41"/>
    </row>
    <row r="55" spans="1:26" ht="12.75" customHeight="1" x14ac:dyDescent="0.35">
      <c r="A55" s="65" t="s">
        <v>224</v>
      </c>
      <c r="B55" s="74">
        <v>6318000</v>
      </c>
      <c r="C55" s="41"/>
      <c r="D55" s="41">
        <f t="shared" si="3"/>
        <v>263.25</v>
      </c>
      <c r="E55" s="49">
        <f t="shared" si="4"/>
        <v>289.57499999999999</v>
      </c>
      <c r="F55" s="65" t="s">
        <v>252</v>
      </c>
      <c r="G55" s="49">
        <f t="shared" si="7"/>
        <v>293.33333333333337</v>
      </c>
      <c r="H55" s="41"/>
      <c r="I55" s="41"/>
      <c r="J55" s="65" t="s">
        <v>253</v>
      </c>
      <c r="K55" s="49">
        <f t="shared" si="6"/>
        <v>316.25</v>
      </c>
      <c r="L55" s="41"/>
      <c r="M55" s="65" t="s">
        <v>255</v>
      </c>
      <c r="N55" s="49">
        <f t="shared" si="5"/>
        <v>261.25</v>
      </c>
      <c r="O55" s="41"/>
      <c r="P55" s="41"/>
      <c r="Q55" s="41"/>
      <c r="R55" s="41"/>
      <c r="S55" s="41"/>
      <c r="T55" s="41"/>
      <c r="U55" s="41"/>
      <c r="V55" s="41"/>
      <c r="W55" s="41"/>
      <c r="X55" s="41"/>
      <c r="Y55" s="41"/>
      <c r="Z55" s="41"/>
    </row>
    <row r="56" spans="1:26" ht="12.75" customHeight="1" x14ac:dyDescent="0.35">
      <c r="A56" s="65" t="s">
        <v>225</v>
      </c>
      <c r="B56" s="74">
        <v>6561000</v>
      </c>
      <c r="C56" s="41"/>
      <c r="D56" s="41">
        <f t="shared" si="3"/>
        <v>273.375</v>
      </c>
      <c r="E56" s="49">
        <f t="shared" si="4"/>
        <v>300.71249999999998</v>
      </c>
      <c r="F56" s="65" t="s">
        <v>253</v>
      </c>
      <c r="G56" s="49">
        <f t="shared" si="7"/>
        <v>316.25</v>
      </c>
      <c r="H56" s="41"/>
      <c r="I56" s="41"/>
      <c r="J56" s="65" t="s">
        <v>254</v>
      </c>
      <c r="K56" s="49">
        <f t="shared" si="6"/>
        <v>247.5</v>
      </c>
      <c r="L56" s="41"/>
      <c r="M56" s="65" t="s">
        <v>256</v>
      </c>
      <c r="N56" s="49">
        <f t="shared" si="5"/>
        <v>55</v>
      </c>
      <c r="O56" s="41"/>
      <c r="P56" s="41"/>
      <c r="Q56" s="41"/>
      <c r="R56" s="41"/>
      <c r="S56" s="41"/>
      <c r="T56" s="41"/>
      <c r="U56" s="41"/>
      <c r="V56" s="41"/>
      <c r="W56" s="41"/>
      <c r="X56" s="41"/>
      <c r="Y56" s="41"/>
      <c r="Z56" s="41"/>
    </row>
    <row r="57" spans="1:26" ht="12.75" customHeight="1" x14ac:dyDescent="0.3">
      <c r="A57" s="65" t="s">
        <v>226</v>
      </c>
      <c r="B57" s="75">
        <v>5000000</v>
      </c>
      <c r="C57" s="41"/>
      <c r="D57" s="41">
        <f t="shared" si="3"/>
        <v>208.33333333333334</v>
      </c>
      <c r="E57" s="49">
        <f t="shared" si="4"/>
        <v>229.16666666666669</v>
      </c>
      <c r="F57" s="65" t="s">
        <v>254</v>
      </c>
      <c r="G57" s="49">
        <f t="shared" si="7"/>
        <v>247.5</v>
      </c>
      <c r="H57" s="41"/>
      <c r="I57" s="41"/>
      <c r="J57" s="65" t="s">
        <v>255</v>
      </c>
      <c r="K57" s="49">
        <f t="shared" si="6"/>
        <v>261.25</v>
      </c>
      <c r="L57" s="41"/>
      <c r="M57" s="65" t="s">
        <v>257</v>
      </c>
      <c r="N57" s="49">
        <f t="shared" si="5"/>
        <v>66.458333333333329</v>
      </c>
      <c r="O57" s="41"/>
      <c r="P57" s="41"/>
      <c r="Q57" s="41"/>
      <c r="R57" s="41"/>
      <c r="S57" s="41"/>
      <c r="T57" s="41"/>
      <c r="U57" s="41"/>
      <c r="V57" s="41"/>
      <c r="W57" s="41"/>
      <c r="X57" s="41"/>
      <c r="Y57" s="41"/>
      <c r="Z57" s="41"/>
    </row>
    <row r="58" spans="1:26" ht="12.75" customHeight="1" x14ac:dyDescent="0.35">
      <c r="A58" s="65" t="s">
        <v>227</v>
      </c>
      <c r="B58" s="76">
        <v>5300000</v>
      </c>
      <c r="C58" s="41"/>
      <c r="D58" s="41">
        <f t="shared" si="3"/>
        <v>220.83333333333334</v>
      </c>
      <c r="E58" s="49">
        <f t="shared" si="4"/>
        <v>242.91666666666669</v>
      </c>
      <c r="F58" s="65" t="s">
        <v>255</v>
      </c>
      <c r="G58" s="49">
        <f t="shared" si="7"/>
        <v>261.25</v>
      </c>
      <c r="H58" s="41"/>
      <c r="I58" s="41"/>
      <c r="J58" s="65" t="s">
        <v>256</v>
      </c>
      <c r="K58" s="49">
        <f t="shared" si="6"/>
        <v>55</v>
      </c>
      <c r="L58" s="41"/>
      <c r="M58" s="65" t="s">
        <v>258</v>
      </c>
      <c r="N58" s="49">
        <f t="shared" si="5"/>
        <v>297.91666666666663</v>
      </c>
      <c r="O58" s="41"/>
      <c r="P58" s="41"/>
      <c r="Q58" s="41"/>
      <c r="R58" s="41"/>
      <c r="S58" s="41"/>
      <c r="T58" s="41"/>
      <c r="U58" s="41"/>
      <c r="V58" s="41"/>
      <c r="W58" s="41"/>
      <c r="X58" s="41"/>
      <c r="Y58" s="41"/>
      <c r="Z58" s="41"/>
    </row>
    <row r="59" spans="1:26" ht="12.75" customHeight="1" x14ac:dyDescent="0.35">
      <c r="A59" s="65" t="s">
        <v>228</v>
      </c>
      <c r="B59" s="77">
        <v>5350000</v>
      </c>
      <c r="C59" s="41"/>
      <c r="D59" s="41">
        <f t="shared" si="3"/>
        <v>222.91666666666666</v>
      </c>
      <c r="E59" s="49">
        <f t="shared" si="4"/>
        <v>245.20833333333331</v>
      </c>
      <c r="F59" s="65" t="s">
        <v>256</v>
      </c>
      <c r="G59" s="49">
        <f t="shared" si="7"/>
        <v>55</v>
      </c>
      <c r="H59" s="41"/>
      <c r="I59" s="41"/>
      <c r="J59" s="65" t="s">
        <v>257</v>
      </c>
      <c r="K59" s="49">
        <f t="shared" si="6"/>
        <v>66.458333333333329</v>
      </c>
      <c r="L59" s="41"/>
      <c r="M59" s="65" t="s">
        <v>259</v>
      </c>
      <c r="N59" s="49">
        <f t="shared" si="5"/>
        <v>343.75</v>
      </c>
      <c r="O59" s="41"/>
      <c r="P59" s="41"/>
      <c r="Q59" s="41"/>
      <c r="R59" s="41"/>
      <c r="S59" s="41"/>
      <c r="T59" s="41"/>
      <c r="U59" s="41"/>
      <c r="V59" s="41"/>
      <c r="W59" s="41"/>
      <c r="X59" s="41"/>
      <c r="Y59" s="41"/>
      <c r="Z59" s="41"/>
    </row>
    <row r="60" spans="1:26" ht="12.75" customHeight="1" x14ac:dyDescent="0.35">
      <c r="A60" s="65" t="s">
        <v>229</v>
      </c>
      <c r="B60" s="74">
        <v>5832000</v>
      </c>
      <c r="C60" s="41"/>
      <c r="D60" s="41">
        <f t="shared" si="3"/>
        <v>243</v>
      </c>
      <c r="E60" s="49">
        <f t="shared" si="4"/>
        <v>267.3</v>
      </c>
      <c r="F60" s="65" t="s">
        <v>257</v>
      </c>
      <c r="G60" s="49">
        <f t="shared" si="7"/>
        <v>66.458333333333329</v>
      </c>
      <c r="H60" s="41"/>
      <c r="I60" s="41"/>
      <c r="J60" s="65" t="s">
        <v>258</v>
      </c>
      <c r="K60" s="49">
        <f t="shared" si="6"/>
        <v>297.91666666666663</v>
      </c>
      <c r="L60" s="41"/>
      <c r="M60" s="65" t="s">
        <v>260</v>
      </c>
      <c r="N60" s="49">
        <f t="shared" si="5"/>
        <v>211.61250000000001</v>
      </c>
      <c r="O60" s="41"/>
      <c r="P60" s="41"/>
      <c r="Q60" s="41"/>
      <c r="R60" s="41"/>
      <c r="S60" s="41"/>
      <c r="T60" s="41"/>
      <c r="U60" s="41"/>
      <c r="V60" s="41"/>
      <c r="W60" s="41"/>
      <c r="X60" s="41"/>
      <c r="Y60" s="41"/>
      <c r="Z60" s="41"/>
    </row>
    <row r="61" spans="1:26" ht="12.75" customHeight="1" x14ac:dyDescent="0.35">
      <c r="A61" s="65" t="s">
        <v>230</v>
      </c>
      <c r="B61" s="74">
        <v>5832000</v>
      </c>
      <c r="C61" s="41"/>
      <c r="D61" s="41">
        <f t="shared" si="3"/>
        <v>243</v>
      </c>
      <c r="E61" s="49">
        <f t="shared" si="4"/>
        <v>267.3</v>
      </c>
      <c r="F61" s="65" t="s">
        <v>258</v>
      </c>
      <c r="G61" s="49">
        <f t="shared" si="7"/>
        <v>297.91666666666663</v>
      </c>
      <c r="H61" s="41"/>
      <c r="I61" s="41"/>
      <c r="J61" s="65" t="s">
        <v>259</v>
      </c>
      <c r="K61" s="49">
        <f t="shared" si="6"/>
        <v>343.75</v>
      </c>
      <c r="L61" s="41"/>
      <c r="M61" s="65" t="s">
        <v>261</v>
      </c>
      <c r="N61" s="49">
        <f t="shared" si="5"/>
        <v>0</v>
      </c>
      <c r="O61" s="41"/>
      <c r="P61" s="41"/>
      <c r="Q61" s="41"/>
      <c r="R61" s="41"/>
      <c r="S61" s="41"/>
      <c r="T61" s="41"/>
      <c r="U61" s="41"/>
      <c r="V61" s="41"/>
      <c r="W61" s="41"/>
      <c r="X61" s="41"/>
      <c r="Y61" s="41"/>
      <c r="Z61" s="41"/>
    </row>
    <row r="62" spans="1:26" ht="12.75" customHeight="1" x14ac:dyDescent="0.35">
      <c r="A62" s="65" t="s">
        <v>231</v>
      </c>
      <c r="B62" s="74">
        <v>5600000</v>
      </c>
      <c r="C62" s="41"/>
      <c r="D62" s="41">
        <f t="shared" si="3"/>
        <v>233.33333333333334</v>
      </c>
      <c r="E62" s="49">
        <f t="shared" si="4"/>
        <v>256.66666666666669</v>
      </c>
      <c r="F62" s="65" t="s">
        <v>259</v>
      </c>
      <c r="G62" s="49">
        <f t="shared" si="7"/>
        <v>343.75</v>
      </c>
      <c r="H62" s="41"/>
      <c r="I62" s="41"/>
      <c r="J62" s="65" t="s">
        <v>260</v>
      </c>
      <c r="K62" s="49">
        <f t="shared" si="6"/>
        <v>211.61250000000001</v>
      </c>
      <c r="L62" s="41"/>
      <c r="M62" s="65" t="s">
        <v>262</v>
      </c>
      <c r="N62" s="49">
        <f t="shared" si="5"/>
        <v>341.45833333333337</v>
      </c>
      <c r="O62" s="41"/>
      <c r="P62" s="41"/>
      <c r="Q62" s="41"/>
      <c r="R62" s="41"/>
      <c r="S62" s="41"/>
      <c r="T62" s="41"/>
      <c r="U62" s="41"/>
      <c r="V62" s="41"/>
      <c r="W62" s="41"/>
      <c r="X62" s="41"/>
      <c r="Y62" s="41"/>
      <c r="Z62" s="41"/>
    </row>
    <row r="63" spans="1:26" ht="12.75" customHeight="1" x14ac:dyDescent="0.35">
      <c r="A63" s="65" t="s">
        <v>232</v>
      </c>
      <c r="B63" s="74">
        <v>6800000</v>
      </c>
      <c r="C63" s="41"/>
      <c r="D63" s="41">
        <f t="shared" si="3"/>
        <v>283.33333333333331</v>
      </c>
      <c r="E63" s="49">
        <f t="shared" si="4"/>
        <v>311.66666666666663</v>
      </c>
      <c r="F63" s="65" t="s">
        <v>260</v>
      </c>
      <c r="G63" s="49">
        <f t="shared" si="7"/>
        <v>211.61250000000001</v>
      </c>
      <c r="H63" s="41"/>
      <c r="I63" s="41"/>
      <c r="J63" s="65" t="s">
        <v>261</v>
      </c>
      <c r="K63" s="49">
        <f t="shared" si="6"/>
        <v>0</v>
      </c>
      <c r="L63" s="41"/>
      <c r="M63" s="65" t="s">
        <v>263</v>
      </c>
      <c r="N63" s="49">
        <f t="shared" si="5"/>
        <v>462</v>
      </c>
      <c r="O63" s="41"/>
      <c r="P63" s="41"/>
      <c r="Q63" s="41"/>
      <c r="R63" s="41"/>
      <c r="S63" s="41"/>
      <c r="T63" s="41"/>
      <c r="U63" s="41"/>
      <c r="V63" s="41"/>
      <c r="W63" s="41"/>
      <c r="X63" s="41"/>
      <c r="Y63" s="41"/>
      <c r="Z63" s="41"/>
    </row>
    <row r="64" spans="1:26" ht="12.75" customHeight="1" x14ac:dyDescent="0.35">
      <c r="A64" s="65" t="s">
        <v>233</v>
      </c>
      <c r="B64" s="74">
        <v>4860000</v>
      </c>
      <c r="C64" s="41"/>
      <c r="D64" s="41">
        <f t="shared" si="3"/>
        <v>202.5</v>
      </c>
      <c r="E64" s="49">
        <f t="shared" si="4"/>
        <v>222.75</v>
      </c>
      <c r="F64" s="65" t="s">
        <v>261</v>
      </c>
      <c r="G64" s="49">
        <f t="shared" si="7"/>
        <v>0</v>
      </c>
      <c r="H64" s="41"/>
      <c r="I64" s="41"/>
      <c r="J64" s="65" t="s">
        <v>262</v>
      </c>
      <c r="K64" s="49">
        <f t="shared" si="6"/>
        <v>341.45833333333337</v>
      </c>
      <c r="L64" s="41"/>
      <c r="M64" s="65" t="s">
        <v>264</v>
      </c>
      <c r="N64" s="49">
        <f t="shared" si="5"/>
        <v>236.11500000000001</v>
      </c>
      <c r="O64" s="41"/>
      <c r="P64" s="41"/>
      <c r="Q64" s="41"/>
      <c r="R64" s="41"/>
      <c r="S64" s="41"/>
      <c r="T64" s="41"/>
      <c r="U64" s="41"/>
      <c r="V64" s="41"/>
      <c r="W64" s="41"/>
      <c r="X64" s="41"/>
      <c r="Y64" s="41"/>
      <c r="Z64" s="41"/>
    </row>
    <row r="65" spans="1:26" ht="12.75" customHeight="1" x14ac:dyDescent="0.35">
      <c r="A65" s="65" t="s">
        <v>234</v>
      </c>
      <c r="B65" s="74">
        <v>6318000</v>
      </c>
      <c r="C65" s="41"/>
      <c r="D65" s="41">
        <f t="shared" si="3"/>
        <v>263.25</v>
      </c>
      <c r="E65" s="49">
        <f t="shared" si="4"/>
        <v>289.57499999999999</v>
      </c>
      <c r="F65" s="65" t="s">
        <v>262</v>
      </c>
      <c r="G65" s="49">
        <f t="shared" si="7"/>
        <v>341.45833333333337</v>
      </c>
      <c r="H65" s="41"/>
      <c r="I65" s="41"/>
      <c r="J65" s="65" t="s">
        <v>263</v>
      </c>
      <c r="K65" s="49">
        <f t="shared" si="6"/>
        <v>462</v>
      </c>
      <c r="L65" s="41"/>
      <c r="M65" s="65" t="s">
        <v>265</v>
      </c>
      <c r="N65" s="49">
        <f t="shared" si="5"/>
        <v>348.60833333333335</v>
      </c>
      <c r="O65" s="41"/>
      <c r="P65" s="41"/>
      <c r="Q65" s="41"/>
      <c r="R65" s="41"/>
      <c r="S65" s="41"/>
      <c r="T65" s="41"/>
      <c r="U65" s="41"/>
      <c r="V65" s="41"/>
      <c r="W65" s="41"/>
      <c r="X65" s="41"/>
      <c r="Y65" s="41"/>
      <c r="Z65" s="41"/>
    </row>
    <row r="66" spans="1:26" ht="12.75" customHeight="1" x14ac:dyDescent="0.35">
      <c r="A66" s="68" t="s">
        <v>236</v>
      </c>
      <c r="B66" s="71">
        <v>4800000</v>
      </c>
      <c r="C66" s="41"/>
      <c r="D66" s="41">
        <f t="shared" si="3"/>
        <v>200</v>
      </c>
      <c r="E66" s="49">
        <f t="shared" si="4"/>
        <v>220</v>
      </c>
      <c r="F66" s="65" t="s">
        <v>263</v>
      </c>
      <c r="G66" s="49">
        <f t="shared" si="7"/>
        <v>462</v>
      </c>
      <c r="H66" s="41"/>
      <c r="I66" s="41"/>
      <c r="J66" s="65" t="s">
        <v>264</v>
      </c>
      <c r="K66" s="49">
        <f t="shared" si="6"/>
        <v>236.11500000000001</v>
      </c>
      <c r="L66" s="41"/>
      <c r="M66" s="65" t="s">
        <v>266</v>
      </c>
      <c r="N66" s="49">
        <f t="shared" si="5"/>
        <v>352.91666666666663</v>
      </c>
      <c r="O66" s="41"/>
      <c r="P66" s="41"/>
      <c r="Q66" s="41"/>
      <c r="R66" s="41"/>
      <c r="S66" s="41"/>
      <c r="T66" s="41"/>
      <c r="U66" s="41"/>
      <c r="V66" s="41"/>
      <c r="W66" s="41"/>
      <c r="X66" s="41"/>
      <c r="Y66" s="41"/>
      <c r="Z66" s="41"/>
    </row>
    <row r="67" spans="1:26" ht="12.75" customHeight="1" x14ac:dyDescent="0.35">
      <c r="A67" s="68" t="s">
        <v>237</v>
      </c>
      <c r="B67" s="71">
        <v>5400000</v>
      </c>
      <c r="C67" s="41"/>
      <c r="D67" s="41">
        <f t="shared" si="3"/>
        <v>225</v>
      </c>
      <c r="E67" s="49">
        <f t="shared" si="4"/>
        <v>247.5</v>
      </c>
      <c r="F67" s="65" t="s">
        <v>264</v>
      </c>
      <c r="G67" s="49">
        <f t="shared" si="7"/>
        <v>236.11500000000001</v>
      </c>
      <c r="H67" s="41"/>
      <c r="I67" s="41"/>
      <c r="J67" s="65" t="s">
        <v>265</v>
      </c>
      <c r="K67" s="49">
        <f t="shared" si="6"/>
        <v>348.60833333333335</v>
      </c>
      <c r="L67" s="41"/>
      <c r="M67" s="65" t="s">
        <v>267</v>
      </c>
      <c r="N67" s="49">
        <f t="shared" si="5"/>
        <v>378.125</v>
      </c>
      <c r="O67" s="41"/>
      <c r="P67" s="41"/>
      <c r="Q67" s="41"/>
      <c r="R67" s="41"/>
      <c r="S67" s="41"/>
      <c r="T67" s="41"/>
      <c r="U67" s="41"/>
      <c r="V67" s="41"/>
      <c r="W67" s="41"/>
      <c r="X67" s="41"/>
      <c r="Y67" s="41"/>
      <c r="Z67" s="41"/>
    </row>
    <row r="68" spans="1:26" ht="12.75" customHeight="1" x14ac:dyDescent="0.35">
      <c r="A68" s="68" t="s">
        <v>238</v>
      </c>
      <c r="B68" s="71">
        <v>5400000</v>
      </c>
      <c r="C68" s="41"/>
      <c r="D68" s="41">
        <f t="shared" si="3"/>
        <v>225</v>
      </c>
      <c r="E68" s="49">
        <f t="shared" si="4"/>
        <v>247.5</v>
      </c>
      <c r="F68" s="65" t="s">
        <v>265</v>
      </c>
      <c r="G68" s="49">
        <f t="shared" si="7"/>
        <v>348.60833333333335</v>
      </c>
      <c r="H68" s="41"/>
      <c r="I68" s="41"/>
      <c r="J68" s="65" t="s">
        <v>266</v>
      </c>
      <c r="K68" s="49">
        <f t="shared" si="6"/>
        <v>352.91666666666663</v>
      </c>
      <c r="L68" s="41"/>
      <c r="M68" s="65" t="s">
        <v>268</v>
      </c>
      <c r="N68" s="49">
        <f t="shared" si="5"/>
        <v>84.791666666666657</v>
      </c>
      <c r="O68" s="41"/>
      <c r="P68" s="41"/>
      <c r="Q68" s="41"/>
      <c r="R68" s="41"/>
      <c r="S68" s="41"/>
      <c r="T68" s="41"/>
      <c r="U68" s="41"/>
      <c r="V68" s="41"/>
      <c r="W68" s="41"/>
      <c r="X68" s="41"/>
      <c r="Y68" s="41"/>
      <c r="Z68" s="41"/>
    </row>
    <row r="69" spans="1:26" ht="12.75" customHeight="1" x14ac:dyDescent="0.35">
      <c r="A69" s="68" t="s">
        <v>239</v>
      </c>
      <c r="B69" s="71">
        <v>6400000</v>
      </c>
      <c r="C69" s="41"/>
      <c r="D69" s="41">
        <f t="shared" si="3"/>
        <v>266.66666666666669</v>
      </c>
      <c r="E69" s="49">
        <f t="shared" si="4"/>
        <v>293.33333333333337</v>
      </c>
      <c r="F69" s="65" t="s">
        <v>266</v>
      </c>
      <c r="G69" s="49">
        <f t="shared" si="7"/>
        <v>352.91666666666663</v>
      </c>
      <c r="H69" s="41"/>
      <c r="I69" s="41"/>
      <c r="J69" s="65" t="s">
        <v>267</v>
      </c>
      <c r="K69" s="49">
        <f t="shared" si="6"/>
        <v>378.125</v>
      </c>
      <c r="L69" s="41"/>
      <c r="M69" s="65" t="s">
        <v>269</v>
      </c>
      <c r="N69" s="49">
        <f t="shared" si="5"/>
        <v>100.83333333333334</v>
      </c>
      <c r="O69" s="41"/>
      <c r="P69" s="41"/>
      <c r="Q69" s="41"/>
      <c r="R69" s="41"/>
      <c r="S69" s="41"/>
      <c r="T69" s="41"/>
      <c r="U69" s="41"/>
      <c r="V69" s="41"/>
      <c r="W69" s="41"/>
      <c r="X69" s="41"/>
      <c r="Y69" s="41"/>
      <c r="Z69" s="41"/>
    </row>
    <row r="70" spans="1:26" ht="12.75" customHeight="1" x14ac:dyDescent="0.35">
      <c r="A70" s="68" t="s">
        <v>240</v>
      </c>
      <c r="B70" s="71">
        <v>4400000</v>
      </c>
      <c r="C70" s="41"/>
      <c r="D70" s="41">
        <f t="shared" si="3"/>
        <v>183.33333333333334</v>
      </c>
      <c r="E70" s="49">
        <f t="shared" si="4"/>
        <v>201.66666666666669</v>
      </c>
      <c r="F70" s="65" t="s">
        <v>267</v>
      </c>
      <c r="G70" s="49">
        <f t="shared" si="7"/>
        <v>378.125</v>
      </c>
      <c r="H70" s="41"/>
      <c r="I70" s="41"/>
      <c r="J70" s="65" t="s">
        <v>268</v>
      </c>
      <c r="K70" s="49">
        <f t="shared" si="6"/>
        <v>84.791666666666657</v>
      </c>
      <c r="L70" s="41"/>
      <c r="M70" s="65" t="s">
        <v>270</v>
      </c>
      <c r="N70" s="49">
        <f t="shared" si="5"/>
        <v>286</v>
      </c>
      <c r="O70" s="41"/>
      <c r="P70" s="41"/>
      <c r="Q70" s="41"/>
      <c r="R70" s="41"/>
      <c r="S70" s="41"/>
      <c r="T70" s="41"/>
      <c r="U70" s="41"/>
      <c r="V70" s="41"/>
      <c r="W70" s="41"/>
      <c r="X70" s="41"/>
      <c r="Y70" s="41"/>
      <c r="Z70" s="41"/>
    </row>
    <row r="71" spans="1:26" ht="12.75" customHeight="1" x14ac:dyDescent="0.35">
      <c r="A71" s="68" t="s">
        <v>241</v>
      </c>
      <c r="B71" s="71">
        <v>5000000</v>
      </c>
      <c r="C71" s="41"/>
      <c r="D71" s="41">
        <f t="shared" si="3"/>
        <v>208.33333333333334</v>
      </c>
      <c r="E71" s="49">
        <f t="shared" si="4"/>
        <v>229.16666666666669</v>
      </c>
      <c r="F71" s="65" t="s">
        <v>268</v>
      </c>
      <c r="G71" s="49">
        <f t="shared" si="7"/>
        <v>84.791666666666657</v>
      </c>
      <c r="H71" s="41"/>
      <c r="I71" s="41"/>
      <c r="J71" s="65" t="s">
        <v>269</v>
      </c>
      <c r="K71" s="49">
        <f t="shared" si="6"/>
        <v>100.83333333333334</v>
      </c>
      <c r="L71" s="41"/>
      <c r="M71" s="65" t="s">
        <v>271</v>
      </c>
      <c r="N71" s="49">
        <f t="shared" si="5"/>
        <v>308</v>
      </c>
      <c r="O71" s="41"/>
      <c r="P71" s="41"/>
      <c r="Q71" s="41"/>
      <c r="R71" s="41"/>
      <c r="S71" s="41"/>
      <c r="T71" s="41"/>
      <c r="U71" s="41"/>
      <c r="V71" s="41"/>
      <c r="W71" s="41"/>
      <c r="X71" s="41"/>
      <c r="Y71" s="41"/>
      <c r="Z71" s="41"/>
    </row>
    <row r="72" spans="1:26" ht="12.75" customHeight="1" x14ac:dyDescent="0.35">
      <c r="A72" s="68" t="s">
        <v>238</v>
      </c>
      <c r="B72" s="71">
        <v>5000000</v>
      </c>
      <c r="C72" s="41"/>
      <c r="D72" s="41">
        <f t="shared" si="3"/>
        <v>208.33333333333334</v>
      </c>
      <c r="E72" s="49">
        <f t="shared" si="4"/>
        <v>229.16666666666669</v>
      </c>
      <c r="F72" s="65" t="s">
        <v>269</v>
      </c>
      <c r="G72" s="49">
        <f t="shared" si="7"/>
        <v>100.83333333333334</v>
      </c>
      <c r="H72" s="41"/>
      <c r="I72" s="41"/>
      <c r="J72" s="65" t="s">
        <v>270</v>
      </c>
      <c r="K72" s="49">
        <f t="shared" si="6"/>
        <v>286</v>
      </c>
      <c r="L72" s="41"/>
      <c r="M72" s="68" t="s">
        <v>272</v>
      </c>
      <c r="N72" s="49">
        <f t="shared" si="5"/>
        <v>297</v>
      </c>
      <c r="O72" s="41"/>
      <c r="P72" s="41"/>
      <c r="Q72" s="41"/>
      <c r="R72" s="41"/>
      <c r="S72" s="41"/>
      <c r="T72" s="41"/>
      <c r="U72" s="41"/>
      <c r="V72" s="41"/>
      <c r="W72" s="41"/>
      <c r="X72" s="41"/>
      <c r="Y72" s="41"/>
      <c r="Z72" s="41"/>
    </row>
    <row r="73" spans="1:26" ht="12.75" customHeight="1" x14ac:dyDescent="0.35">
      <c r="A73" s="68" t="s">
        <v>239</v>
      </c>
      <c r="B73" s="71">
        <v>6000000</v>
      </c>
      <c r="C73" s="41"/>
      <c r="D73" s="41">
        <f t="shared" si="3"/>
        <v>250</v>
      </c>
      <c r="E73" s="49">
        <f t="shared" si="4"/>
        <v>275</v>
      </c>
      <c r="F73" s="65" t="s">
        <v>270</v>
      </c>
      <c r="G73" s="49">
        <f t="shared" si="7"/>
        <v>286</v>
      </c>
      <c r="H73" s="41"/>
      <c r="I73" s="41"/>
      <c r="J73" s="65" t="s">
        <v>271</v>
      </c>
      <c r="K73" s="49">
        <f t="shared" si="6"/>
        <v>308</v>
      </c>
      <c r="L73" s="41"/>
      <c r="M73" s="65" t="s">
        <v>273</v>
      </c>
      <c r="N73" s="49">
        <f t="shared" si="5"/>
        <v>319</v>
      </c>
      <c r="O73" s="41"/>
      <c r="P73" s="41"/>
      <c r="Q73" s="41"/>
      <c r="R73" s="41"/>
      <c r="S73" s="41"/>
      <c r="T73" s="41"/>
      <c r="U73" s="41"/>
      <c r="V73" s="41"/>
      <c r="W73" s="41"/>
      <c r="X73" s="41"/>
      <c r="Y73" s="41"/>
      <c r="Z73" s="41"/>
    </row>
    <row r="74" spans="1:26" ht="12.75" customHeight="1" x14ac:dyDescent="0.35">
      <c r="A74" s="70" t="s">
        <v>242</v>
      </c>
      <c r="B74" s="71">
        <v>4800000</v>
      </c>
      <c r="C74" s="41"/>
      <c r="D74" s="41">
        <f t="shared" si="3"/>
        <v>200</v>
      </c>
      <c r="E74" s="49">
        <f t="shared" si="4"/>
        <v>220</v>
      </c>
      <c r="F74" s="65" t="s">
        <v>271</v>
      </c>
      <c r="G74" s="49">
        <f t="shared" si="7"/>
        <v>308</v>
      </c>
      <c r="H74" s="41"/>
      <c r="I74" s="41"/>
      <c r="J74" s="68" t="s">
        <v>272</v>
      </c>
      <c r="K74" s="49">
        <f t="shared" si="6"/>
        <v>297</v>
      </c>
      <c r="L74" s="41"/>
      <c r="M74" s="65" t="s">
        <v>274</v>
      </c>
      <c r="N74" s="49">
        <f t="shared" si="5"/>
        <v>264</v>
      </c>
      <c r="O74" s="41"/>
      <c r="P74" s="41"/>
      <c r="Q74" s="41"/>
      <c r="R74" s="41"/>
      <c r="S74" s="41"/>
      <c r="T74" s="41"/>
      <c r="U74" s="41"/>
      <c r="V74" s="41"/>
      <c r="W74" s="41"/>
      <c r="X74" s="41"/>
      <c r="Y74" s="41"/>
      <c r="Z74" s="41"/>
    </row>
    <row r="75" spans="1:26" ht="12.75" customHeight="1" x14ac:dyDescent="0.35">
      <c r="A75" s="68" t="s">
        <v>243</v>
      </c>
      <c r="B75" s="71">
        <v>5200000</v>
      </c>
      <c r="C75" s="41"/>
      <c r="D75" s="41">
        <f t="shared" si="3"/>
        <v>216.66666666666666</v>
      </c>
      <c r="E75" s="49">
        <f t="shared" si="4"/>
        <v>238.33333333333331</v>
      </c>
      <c r="F75" s="68" t="s">
        <v>272</v>
      </c>
      <c r="G75" s="49">
        <f t="shared" si="7"/>
        <v>297</v>
      </c>
      <c r="H75" s="41"/>
      <c r="I75" s="41"/>
      <c r="J75" s="65" t="s">
        <v>273</v>
      </c>
      <c r="K75" s="49">
        <f t="shared" si="6"/>
        <v>319</v>
      </c>
      <c r="L75" s="41"/>
      <c r="M75" s="65" t="s">
        <v>275</v>
      </c>
      <c r="N75" s="49">
        <f t="shared" si="5"/>
        <v>286</v>
      </c>
      <c r="O75" s="41"/>
      <c r="P75" s="41"/>
      <c r="Q75" s="41"/>
      <c r="R75" s="41"/>
      <c r="S75" s="41"/>
      <c r="T75" s="41"/>
      <c r="U75" s="41"/>
      <c r="V75" s="41"/>
      <c r="W75" s="41"/>
      <c r="X75" s="41"/>
      <c r="Y75" s="41"/>
      <c r="Z75" s="41"/>
    </row>
    <row r="76" spans="1:26" ht="12.75" customHeight="1" x14ac:dyDescent="0.35">
      <c r="A76" s="68" t="s">
        <v>244</v>
      </c>
      <c r="B76" s="71">
        <v>5200000</v>
      </c>
      <c r="C76" s="41"/>
      <c r="D76" s="41">
        <f t="shared" si="3"/>
        <v>216.66666666666666</v>
      </c>
      <c r="E76" s="49">
        <f t="shared" si="4"/>
        <v>238.33333333333331</v>
      </c>
      <c r="F76" s="65" t="s">
        <v>273</v>
      </c>
      <c r="G76" s="49">
        <f t="shared" si="7"/>
        <v>319</v>
      </c>
      <c r="H76" s="41"/>
      <c r="I76" s="41"/>
      <c r="J76" s="65" t="s">
        <v>274</v>
      </c>
      <c r="K76" s="49">
        <f t="shared" si="6"/>
        <v>264</v>
      </c>
      <c r="L76" s="41"/>
      <c r="M76" s="65" t="s">
        <v>276</v>
      </c>
      <c r="N76" s="49">
        <f t="shared" si="5"/>
        <v>264</v>
      </c>
      <c r="O76" s="41"/>
      <c r="P76" s="41"/>
      <c r="Q76" s="41"/>
      <c r="R76" s="41"/>
      <c r="S76" s="41"/>
      <c r="T76" s="41"/>
      <c r="U76" s="41"/>
      <c r="V76" s="41"/>
      <c r="W76" s="41"/>
      <c r="X76" s="41"/>
      <c r="Y76" s="41"/>
      <c r="Z76" s="41"/>
    </row>
    <row r="77" spans="1:26" ht="12.75" customHeight="1" x14ac:dyDescent="0.35">
      <c r="A77" s="68" t="s">
        <v>245</v>
      </c>
      <c r="B77" s="71">
        <v>5600000</v>
      </c>
      <c r="C77" s="41"/>
      <c r="D77" s="41">
        <f t="shared" si="3"/>
        <v>233.33333333333334</v>
      </c>
      <c r="E77" s="49">
        <f t="shared" si="4"/>
        <v>256.66666666666669</v>
      </c>
      <c r="F77" s="65" t="s">
        <v>274</v>
      </c>
      <c r="G77" s="49">
        <f t="shared" si="7"/>
        <v>264</v>
      </c>
      <c r="H77" s="41"/>
      <c r="I77" s="41"/>
      <c r="J77" s="65" t="s">
        <v>275</v>
      </c>
      <c r="K77" s="49">
        <f t="shared" si="6"/>
        <v>286</v>
      </c>
      <c r="L77" s="41"/>
      <c r="M77" s="68" t="s">
        <v>277</v>
      </c>
      <c r="N77" s="49">
        <f t="shared" si="5"/>
        <v>286</v>
      </c>
      <c r="O77" s="41"/>
      <c r="P77" s="41"/>
      <c r="Q77" s="41"/>
      <c r="R77" s="41"/>
      <c r="S77" s="41"/>
      <c r="T77" s="41"/>
      <c r="U77" s="41"/>
      <c r="V77" s="41"/>
      <c r="W77" s="41"/>
      <c r="X77" s="41"/>
      <c r="Y77" s="41"/>
      <c r="Z77" s="41"/>
    </row>
    <row r="78" spans="1:26" ht="12.75" customHeight="1" x14ac:dyDescent="0.3">
      <c r="A78" s="65" t="s">
        <v>246</v>
      </c>
      <c r="B78" s="73">
        <v>5000000</v>
      </c>
      <c r="C78" s="41"/>
      <c r="D78" s="41">
        <f t="shared" si="3"/>
        <v>208.33333333333334</v>
      </c>
      <c r="E78" s="49">
        <f t="shared" si="4"/>
        <v>229.16666666666669</v>
      </c>
      <c r="F78" s="65" t="s">
        <v>275</v>
      </c>
      <c r="G78" s="49">
        <f t="shared" si="7"/>
        <v>286</v>
      </c>
      <c r="H78" s="41"/>
      <c r="I78" s="41"/>
      <c r="J78" s="65" t="s">
        <v>276</v>
      </c>
      <c r="K78" s="49">
        <f t="shared" si="6"/>
        <v>264</v>
      </c>
      <c r="L78" s="41"/>
      <c r="M78" s="65" t="s">
        <v>278</v>
      </c>
      <c r="N78" s="49">
        <f t="shared" si="5"/>
        <v>302.5</v>
      </c>
      <c r="O78" s="41"/>
      <c r="P78" s="41"/>
      <c r="Q78" s="41"/>
      <c r="R78" s="41"/>
      <c r="S78" s="41"/>
      <c r="T78" s="41"/>
      <c r="U78" s="41"/>
      <c r="V78" s="41"/>
      <c r="W78" s="41"/>
      <c r="X78" s="41"/>
      <c r="Y78" s="41"/>
      <c r="Z78" s="41"/>
    </row>
    <row r="79" spans="1:26" ht="12.75" customHeight="1" x14ac:dyDescent="0.35">
      <c r="A79" s="65" t="s">
        <v>247</v>
      </c>
      <c r="B79" s="71">
        <v>5400000</v>
      </c>
      <c r="C79" s="41"/>
      <c r="D79" s="41">
        <f t="shared" si="3"/>
        <v>225</v>
      </c>
      <c r="E79" s="49">
        <f t="shared" si="4"/>
        <v>247.5</v>
      </c>
      <c r="F79" s="65" t="s">
        <v>276</v>
      </c>
      <c r="G79" s="49">
        <f t="shared" si="7"/>
        <v>264</v>
      </c>
      <c r="H79" s="41"/>
      <c r="I79" s="41"/>
      <c r="J79" s="68" t="s">
        <v>277</v>
      </c>
      <c r="K79" s="49">
        <f t="shared" si="6"/>
        <v>286</v>
      </c>
      <c r="L79" s="41"/>
      <c r="M79" s="65" t="s">
        <v>279</v>
      </c>
      <c r="N79" s="49">
        <f t="shared" si="5"/>
        <v>320.83333333333337</v>
      </c>
      <c r="O79" s="41"/>
      <c r="P79" s="41"/>
      <c r="Q79" s="41"/>
      <c r="R79" s="41"/>
      <c r="S79" s="41"/>
      <c r="T79" s="41"/>
      <c r="U79" s="41"/>
      <c r="V79" s="41"/>
      <c r="W79" s="41"/>
      <c r="X79" s="41"/>
      <c r="Y79" s="41"/>
      <c r="Z79" s="41"/>
    </row>
    <row r="80" spans="1:26" ht="12.75" customHeight="1" x14ac:dyDescent="0.35">
      <c r="A80" s="65" t="s">
        <v>248</v>
      </c>
      <c r="B80" s="71">
        <v>4200000</v>
      </c>
      <c r="C80" s="41"/>
      <c r="D80" s="41">
        <f t="shared" si="3"/>
        <v>175</v>
      </c>
      <c r="E80" s="49">
        <f t="shared" si="4"/>
        <v>192.5</v>
      </c>
      <c r="F80" s="68" t="s">
        <v>277</v>
      </c>
      <c r="G80" s="49">
        <f t="shared" si="7"/>
        <v>286</v>
      </c>
      <c r="H80" s="41"/>
      <c r="I80" s="41"/>
      <c r="J80" s="65" t="s">
        <v>278</v>
      </c>
      <c r="K80" s="49">
        <f t="shared" si="6"/>
        <v>302.5</v>
      </c>
      <c r="L80" s="41"/>
      <c r="M80" s="65" t="s">
        <v>280</v>
      </c>
      <c r="N80" s="49">
        <f t="shared" si="5"/>
        <v>261.25</v>
      </c>
      <c r="O80" s="41"/>
      <c r="P80" s="41"/>
      <c r="Q80" s="41"/>
      <c r="R80" s="41"/>
      <c r="S80" s="41"/>
      <c r="T80" s="41"/>
      <c r="U80" s="41"/>
      <c r="V80" s="41"/>
      <c r="W80" s="41"/>
      <c r="X80" s="41"/>
      <c r="Y80" s="41"/>
      <c r="Z80" s="41"/>
    </row>
    <row r="81" spans="1:26" ht="12.75" customHeight="1" x14ac:dyDescent="0.35">
      <c r="A81" s="65" t="s">
        <v>249</v>
      </c>
      <c r="B81" s="71">
        <v>4400000</v>
      </c>
      <c r="C81" s="41"/>
      <c r="D81" s="41">
        <f t="shared" si="3"/>
        <v>183.33333333333334</v>
      </c>
      <c r="E81" s="49">
        <f t="shared" si="4"/>
        <v>201.66666666666669</v>
      </c>
      <c r="F81" s="65" t="s">
        <v>278</v>
      </c>
      <c r="G81" s="49">
        <f t="shared" si="7"/>
        <v>302.5</v>
      </c>
      <c r="H81" s="41"/>
      <c r="I81" s="41"/>
      <c r="J81" s="65" t="s">
        <v>279</v>
      </c>
      <c r="K81" s="49">
        <f t="shared" si="6"/>
        <v>320.83333333333337</v>
      </c>
      <c r="L81" s="41"/>
      <c r="M81" s="65" t="s">
        <v>281</v>
      </c>
      <c r="N81" s="49">
        <f t="shared" si="5"/>
        <v>313.5</v>
      </c>
      <c r="O81" s="41"/>
      <c r="P81" s="41"/>
      <c r="Q81" s="41"/>
      <c r="R81" s="41"/>
      <c r="S81" s="41"/>
      <c r="T81" s="41"/>
      <c r="U81" s="41"/>
      <c r="V81" s="41"/>
      <c r="W81" s="41"/>
      <c r="X81" s="41"/>
      <c r="Y81" s="41"/>
      <c r="Z81" s="41"/>
    </row>
    <row r="82" spans="1:26" ht="12.75" customHeight="1" x14ac:dyDescent="0.35">
      <c r="A82" s="65" t="s">
        <v>250</v>
      </c>
      <c r="B82" s="71">
        <v>6600000</v>
      </c>
      <c r="C82" s="41"/>
      <c r="D82" s="41">
        <f t="shared" si="3"/>
        <v>275</v>
      </c>
      <c r="E82" s="49">
        <f t="shared" si="4"/>
        <v>302.5</v>
      </c>
      <c r="F82" s="65" t="s">
        <v>279</v>
      </c>
      <c r="G82" s="49">
        <f t="shared" si="7"/>
        <v>320.83333333333337</v>
      </c>
      <c r="H82" s="41"/>
      <c r="I82" s="41"/>
      <c r="J82" s="65" t="s">
        <v>280</v>
      </c>
      <c r="K82" s="49">
        <f t="shared" si="6"/>
        <v>261.25</v>
      </c>
      <c r="L82" s="41"/>
      <c r="M82" s="65" t="s">
        <v>282</v>
      </c>
      <c r="N82" s="49">
        <f t="shared" si="5"/>
        <v>256.66666666666669</v>
      </c>
      <c r="O82" s="41"/>
      <c r="P82" s="41"/>
      <c r="Q82" s="41"/>
      <c r="R82" s="41"/>
      <c r="S82" s="41"/>
      <c r="T82" s="41"/>
      <c r="U82" s="41"/>
      <c r="V82" s="41"/>
      <c r="W82" s="41"/>
      <c r="X82" s="41"/>
      <c r="Y82" s="41"/>
      <c r="Z82" s="41"/>
    </row>
    <row r="83" spans="1:26" ht="12.75" customHeight="1" x14ac:dyDescent="0.35">
      <c r="A83" s="65" t="s">
        <v>251</v>
      </c>
      <c r="B83" s="71">
        <v>7100000</v>
      </c>
      <c r="C83" s="41"/>
      <c r="D83" s="41">
        <f t="shared" si="3"/>
        <v>295.83333333333331</v>
      </c>
      <c r="E83" s="49">
        <f t="shared" si="4"/>
        <v>325.41666666666663</v>
      </c>
      <c r="F83" s="65" t="s">
        <v>280</v>
      </c>
      <c r="G83" s="49">
        <f t="shared" si="7"/>
        <v>261.25</v>
      </c>
      <c r="H83" s="41"/>
      <c r="I83" s="41"/>
      <c r="J83" s="65" t="s">
        <v>281</v>
      </c>
      <c r="K83" s="49">
        <f t="shared" si="6"/>
        <v>313.5</v>
      </c>
      <c r="L83" s="41"/>
      <c r="M83" s="65" t="s">
        <v>283</v>
      </c>
      <c r="N83" s="49">
        <f t="shared" si="5"/>
        <v>458.33333333333337</v>
      </c>
      <c r="O83" s="41"/>
      <c r="P83" s="41"/>
      <c r="Q83" s="41"/>
      <c r="R83" s="41"/>
      <c r="S83" s="41"/>
      <c r="T83" s="41"/>
      <c r="U83" s="41"/>
      <c r="V83" s="41"/>
      <c r="W83" s="41"/>
      <c r="X83" s="41"/>
      <c r="Y83" s="41"/>
      <c r="Z83" s="41"/>
    </row>
    <row r="84" spans="1:26" ht="12.75" customHeight="1" x14ac:dyDescent="0.3">
      <c r="A84" s="65" t="s">
        <v>252</v>
      </c>
      <c r="B84" s="73">
        <v>6400000</v>
      </c>
      <c r="C84" s="41"/>
      <c r="D84" s="41">
        <f t="shared" si="3"/>
        <v>266.66666666666669</v>
      </c>
      <c r="E84" s="49">
        <f t="shared" si="4"/>
        <v>293.33333333333337</v>
      </c>
      <c r="F84" s="65" t="s">
        <v>281</v>
      </c>
      <c r="G84" s="49">
        <f t="shared" si="7"/>
        <v>313.5</v>
      </c>
      <c r="H84" s="41"/>
      <c r="I84" s="41"/>
      <c r="J84" s="65" t="s">
        <v>282</v>
      </c>
      <c r="K84" s="49">
        <f t="shared" si="6"/>
        <v>256.66666666666669</v>
      </c>
      <c r="L84" s="41"/>
      <c r="M84" s="65" t="s">
        <v>284</v>
      </c>
      <c r="N84" s="49">
        <f t="shared" si="5"/>
        <v>77.916666666666657</v>
      </c>
      <c r="O84" s="41"/>
      <c r="P84" s="41"/>
      <c r="Q84" s="41"/>
      <c r="R84" s="41"/>
      <c r="S84" s="41"/>
      <c r="T84" s="41"/>
      <c r="U84" s="41"/>
      <c r="V84" s="41"/>
      <c r="W84" s="41"/>
      <c r="X84" s="41"/>
      <c r="Y84" s="41"/>
      <c r="Z84" s="41"/>
    </row>
    <row r="85" spans="1:26" ht="12.75" customHeight="1" x14ac:dyDescent="0.3">
      <c r="A85" s="65" t="s">
        <v>253</v>
      </c>
      <c r="B85" s="78">
        <v>6900000</v>
      </c>
      <c r="C85" s="41"/>
      <c r="D85" s="41">
        <f t="shared" si="3"/>
        <v>287.5</v>
      </c>
      <c r="E85" s="49">
        <f t="shared" si="4"/>
        <v>316.25</v>
      </c>
      <c r="F85" s="65" t="s">
        <v>282</v>
      </c>
      <c r="G85" s="49">
        <f t="shared" si="7"/>
        <v>256.66666666666669</v>
      </c>
      <c r="H85" s="41"/>
      <c r="I85" s="41"/>
      <c r="J85" s="65" t="s">
        <v>283</v>
      </c>
      <c r="K85" s="49">
        <f t="shared" si="6"/>
        <v>458.33333333333337</v>
      </c>
      <c r="L85" s="41"/>
      <c r="M85" s="68" t="s">
        <v>285</v>
      </c>
      <c r="N85" s="49">
        <f t="shared" si="5"/>
        <v>96.25</v>
      </c>
      <c r="O85" s="41"/>
      <c r="P85" s="41"/>
      <c r="Q85" s="41"/>
      <c r="R85" s="41"/>
      <c r="S85" s="41"/>
      <c r="T85" s="41"/>
      <c r="U85" s="41"/>
      <c r="V85" s="41"/>
      <c r="W85" s="41"/>
      <c r="X85" s="41"/>
      <c r="Y85" s="41"/>
      <c r="Z85" s="41"/>
    </row>
    <row r="86" spans="1:26" ht="12.75" customHeight="1" x14ac:dyDescent="0.3">
      <c r="A86" s="65" t="s">
        <v>254</v>
      </c>
      <c r="B86" s="78">
        <v>5400000</v>
      </c>
      <c r="C86" s="41"/>
      <c r="D86" s="41">
        <f t="shared" si="3"/>
        <v>225</v>
      </c>
      <c r="E86" s="49">
        <f t="shared" si="4"/>
        <v>247.5</v>
      </c>
      <c r="F86" s="65" t="s">
        <v>283</v>
      </c>
      <c r="G86" s="49">
        <f t="shared" si="7"/>
        <v>458.33333333333337</v>
      </c>
      <c r="H86" s="41"/>
      <c r="I86" s="41"/>
      <c r="J86" s="65" t="s">
        <v>284</v>
      </c>
      <c r="K86" s="49">
        <f t="shared" si="6"/>
        <v>77.916666666666657</v>
      </c>
      <c r="L86" s="41"/>
      <c r="M86" s="65" t="s">
        <v>286</v>
      </c>
      <c r="N86" s="49">
        <f t="shared" si="5"/>
        <v>96.25</v>
      </c>
      <c r="O86" s="41"/>
      <c r="P86" s="41"/>
      <c r="Q86" s="41"/>
      <c r="R86" s="41"/>
      <c r="S86" s="41"/>
      <c r="T86" s="41"/>
      <c r="U86" s="41"/>
      <c r="V86" s="41"/>
      <c r="W86" s="41"/>
      <c r="X86" s="41"/>
      <c r="Y86" s="41"/>
      <c r="Z86" s="41"/>
    </row>
    <row r="87" spans="1:26" ht="12.75" customHeight="1" x14ac:dyDescent="0.3">
      <c r="A87" s="65" t="s">
        <v>255</v>
      </c>
      <c r="B87" s="78">
        <v>5700000</v>
      </c>
      <c r="C87" s="41"/>
      <c r="D87" s="41">
        <f t="shared" si="3"/>
        <v>237.5</v>
      </c>
      <c r="E87" s="49">
        <f t="shared" si="4"/>
        <v>261.25</v>
      </c>
      <c r="F87" s="65" t="s">
        <v>284</v>
      </c>
      <c r="G87" s="49">
        <f t="shared" si="7"/>
        <v>77.916666666666657</v>
      </c>
      <c r="H87" s="41"/>
      <c r="I87" s="41"/>
      <c r="J87" s="68" t="s">
        <v>285</v>
      </c>
      <c r="K87" s="49">
        <f t="shared" si="6"/>
        <v>96.25</v>
      </c>
      <c r="L87" s="41"/>
      <c r="M87" s="65" t="s">
        <v>287</v>
      </c>
      <c r="N87" s="49">
        <f t="shared" si="5"/>
        <v>89.375</v>
      </c>
      <c r="O87" s="41"/>
      <c r="P87" s="41"/>
      <c r="Q87" s="41"/>
      <c r="R87" s="41"/>
      <c r="S87" s="41"/>
      <c r="T87" s="41"/>
      <c r="U87" s="41"/>
      <c r="V87" s="41"/>
      <c r="W87" s="41"/>
      <c r="X87" s="41"/>
      <c r="Y87" s="41"/>
      <c r="Z87" s="41"/>
    </row>
    <row r="88" spans="1:26" ht="12.75" customHeight="1" x14ac:dyDescent="0.35">
      <c r="A88" s="65" t="s">
        <v>256</v>
      </c>
      <c r="B88" s="71">
        <v>1200000</v>
      </c>
      <c r="C88" s="41"/>
      <c r="D88" s="41">
        <f t="shared" si="3"/>
        <v>50</v>
      </c>
      <c r="E88" s="49">
        <f t="shared" si="4"/>
        <v>55</v>
      </c>
      <c r="F88" s="68" t="s">
        <v>285</v>
      </c>
      <c r="G88" s="49">
        <f t="shared" si="7"/>
        <v>96.25</v>
      </c>
      <c r="H88" s="41"/>
      <c r="I88" s="41"/>
      <c r="J88" s="65" t="s">
        <v>286</v>
      </c>
      <c r="K88" s="49">
        <f t="shared" si="6"/>
        <v>96.25</v>
      </c>
      <c r="L88" s="41"/>
      <c r="M88" s="65" t="s">
        <v>288</v>
      </c>
      <c r="N88" s="49">
        <f t="shared" si="5"/>
        <v>423.22500000000002</v>
      </c>
      <c r="O88" s="41"/>
      <c r="P88" s="41"/>
      <c r="Q88" s="41"/>
      <c r="R88" s="41"/>
      <c r="S88" s="41"/>
      <c r="T88" s="41"/>
      <c r="U88" s="41"/>
      <c r="V88" s="41"/>
      <c r="W88" s="41"/>
      <c r="X88" s="41"/>
      <c r="Y88" s="41"/>
      <c r="Z88" s="41"/>
    </row>
    <row r="89" spans="1:26" ht="12.75" customHeight="1" x14ac:dyDescent="0.3">
      <c r="A89" s="65" t="s">
        <v>257</v>
      </c>
      <c r="B89" s="79">
        <v>1450000</v>
      </c>
      <c r="C89" s="41"/>
      <c r="D89" s="41">
        <f t="shared" si="3"/>
        <v>60.416666666666664</v>
      </c>
      <c r="E89" s="49">
        <f t="shared" si="4"/>
        <v>66.458333333333329</v>
      </c>
      <c r="F89" s="65" t="s">
        <v>286</v>
      </c>
      <c r="G89" s="49">
        <f t="shared" si="7"/>
        <v>96.25</v>
      </c>
      <c r="H89" s="41"/>
      <c r="I89" s="41"/>
      <c r="J89" s="65" t="s">
        <v>287</v>
      </c>
      <c r="K89" s="49">
        <f t="shared" si="6"/>
        <v>89.375</v>
      </c>
      <c r="L89" s="41"/>
      <c r="M89" s="65" t="s">
        <v>289</v>
      </c>
      <c r="N89" s="49">
        <f t="shared" si="5"/>
        <v>623.70000000000005</v>
      </c>
      <c r="O89" s="41"/>
      <c r="P89" s="41"/>
      <c r="Q89" s="41"/>
      <c r="R89" s="41"/>
      <c r="S89" s="41"/>
      <c r="T89" s="41"/>
      <c r="U89" s="41"/>
      <c r="V89" s="41"/>
      <c r="W89" s="41"/>
      <c r="X89" s="41"/>
      <c r="Y89" s="41"/>
      <c r="Z89" s="41"/>
    </row>
    <row r="90" spans="1:26" ht="12.75" customHeight="1" x14ac:dyDescent="0.3">
      <c r="A90" s="65" t="s">
        <v>258</v>
      </c>
      <c r="B90" s="41">
        <v>6500000</v>
      </c>
      <c r="C90" s="41"/>
      <c r="D90" s="41">
        <f t="shared" si="3"/>
        <v>270.83333333333331</v>
      </c>
      <c r="E90" s="49">
        <f t="shared" si="4"/>
        <v>297.91666666666663</v>
      </c>
      <c r="F90" s="65" t="s">
        <v>287</v>
      </c>
      <c r="G90" s="49">
        <f t="shared" si="7"/>
        <v>89.375</v>
      </c>
      <c r="H90" s="41"/>
      <c r="I90" s="41"/>
      <c r="J90" s="65" t="s">
        <v>288</v>
      </c>
      <c r="K90" s="49">
        <f t="shared" si="6"/>
        <v>423.22500000000002</v>
      </c>
      <c r="L90" s="41"/>
      <c r="M90" s="80" t="s">
        <v>290</v>
      </c>
      <c r="N90" s="49">
        <f t="shared" si="5"/>
        <v>210.83333333333331</v>
      </c>
      <c r="O90" s="41"/>
      <c r="P90" s="41"/>
      <c r="Q90" s="41"/>
      <c r="R90" s="41"/>
      <c r="S90" s="41"/>
      <c r="T90" s="41"/>
      <c r="U90" s="41"/>
      <c r="V90" s="41"/>
      <c r="W90" s="41"/>
      <c r="X90" s="41"/>
      <c r="Y90" s="41"/>
      <c r="Z90" s="41"/>
    </row>
    <row r="91" spans="1:26" ht="12.75" customHeight="1" x14ac:dyDescent="0.3">
      <c r="A91" s="65" t="s">
        <v>259</v>
      </c>
      <c r="B91" s="78">
        <v>7500000</v>
      </c>
      <c r="C91" s="41"/>
      <c r="D91" s="41">
        <f t="shared" si="3"/>
        <v>312.5</v>
      </c>
      <c r="E91" s="49">
        <f t="shared" si="4"/>
        <v>343.75</v>
      </c>
      <c r="F91" s="65" t="s">
        <v>288</v>
      </c>
      <c r="G91" s="49">
        <f t="shared" si="7"/>
        <v>423.22500000000002</v>
      </c>
      <c r="H91" s="41"/>
      <c r="I91" s="41"/>
      <c r="J91" s="65" t="s">
        <v>289</v>
      </c>
      <c r="K91" s="49">
        <f t="shared" si="6"/>
        <v>623.70000000000005</v>
      </c>
      <c r="L91" s="41"/>
      <c r="M91" s="65" t="s">
        <v>291</v>
      </c>
      <c r="N91" s="49">
        <f t="shared" si="5"/>
        <v>229.16666666666669</v>
      </c>
      <c r="O91" s="41"/>
      <c r="P91" s="41"/>
      <c r="Q91" s="41"/>
      <c r="R91" s="41"/>
      <c r="S91" s="41"/>
      <c r="T91" s="41"/>
      <c r="U91" s="41"/>
      <c r="V91" s="41"/>
      <c r="W91" s="41"/>
      <c r="X91" s="41"/>
      <c r="Y91" s="41"/>
      <c r="Z91" s="41"/>
    </row>
    <row r="92" spans="1:26" ht="12.75" customHeight="1" x14ac:dyDescent="0.3">
      <c r="A92" s="65" t="s">
        <v>260</v>
      </c>
      <c r="B92" s="78">
        <v>4617000</v>
      </c>
      <c r="C92" s="41"/>
      <c r="D92" s="41">
        <f t="shared" si="3"/>
        <v>192.375</v>
      </c>
      <c r="E92" s="49">
        <f t="shared" si="4"/>
        <v>211.61250000000001</v>
      </c>
      <c r="F92" s="65" t="s">
        <v>289</v>
      </c>
      <c r="G92" s="49">
        <f t="shared" si="7"/>
        <v>623.70000000000005</v>
      </c>
      <c r="H92" s="41"/>
      <c r="I92" s="41"/>
      <c r="J92" s="80" t="s">
        <v>290</v>
      </c>
      <c r="K92" s="49">
        <f t="shared" si="6"/>
        <v>210.83333333333331</v>
      </c>
      <c r="L92" s="41"/>
      <c r="M92" s="65" t="s">
        <v>292</v>
      </c>
      <c r="N92" s="49">
        <f t="shared" si="5"/>
        <v>367.53750000000002</v>
      </c>
      <c r="O92" s="41"/>
      <c r="P92" s="41"/>
      <c r="Q92" s="41"/>
      <c r="R92" s="41"/>
      <c r="S92" s="41"/>
      <c r="T92" s="41"/>
      <c r="U92" s="41"/>
      <c r="V92" s="41"/>
      <c r="W92" s="41"/>
      <c r="X92" s="41"/>
      <c r="Y92" s="41"/>
      <c r="Z92" s="41"/>
    </row>
    <row r="93" spans="1:26" ht="12.75" customHeight="1" x14ac:dyDescent="0.3">
      <c r="A93" s="65" t="s">
        <v>261</v>
      </c>
      <c r="B93" s="78">
        <v>0</v>
      </c>
      <c r="C93" s="41"/>
      <c r="D93" s="41">
        <f t="shared" si="3"/>
        <v>0</v>
      </c>
      <c r="E93" s="49">
        <f t="shared" si="4"/>
        <v>0</v>
      </c>
      <c r="F93" s="80" t="s">
        <v>290</v>
      </c>
      <c r="G93" s="49">
        <f t="shared" si="7"/>
        <v>210.83333333333331</v>
      </c>
      <c r="H93" s="41"/>
      <c r="I93" s="41"/>
      <c r="J93" s="65" t="s">
        <v>291</v>
      </c>
      <c r="K93" s="49">
        <f t="shared" si="6"/>
        <v>229.16666666666669</v>
      </c>
      <c r="L93" s="41"/>
      <c r="M93" s="65" t="s">
        <v>293</v>
      </c>
      <c r="N93" s="49">
        <f t="shared" si="5"/>
        <v>389.8125</v>
      </c>
      <c r="O93" s="41"/>
      <c r="P93" s="41"/>
      <c r="Q93" s="41"/>
      <c r="R93" s="41"/>
      <c r="S93" s="41"/>
      <c r="T93" s="41"/>
      <c r="U93" s="41"/>
      <c r="V93" s="41"/>
      <c r="W93" s="41"/>
      <c r="X93" s="41"/>
      <c r="Y93" s="41"/>
      <c r="Z93" s="41"/>
    </row>
    <row r="94" spans="1:26" ht="12.75" customHeight="1" x14ac:dyDescent="0.3">
      <c r="A94" s="65" t="s">
        <v>262</v>
      </c>
      <c r="B94" s="81">
        <v>7450000</v>
      </c>
      <c r="C94" s="41"/>
      <c r="D94" s="41">
        <f t="shared" si="3"/>
        <v>310.41666666666669</v>
      </c>
      <c r="E94" s="49">
        <f t="shared" si="4"/>
        <v>341.45833333333337</v>
      </c>
      <c r="F94" s="65" t="s">
        <v>291</v>
      </c>
      <c r="G94" s="49">
        <f t="shared" si="7"/>
        <v>229.16666666666669</v>
      </c>
      <c r="H94" s="41"/>
      <c r="I94" s="41"/>
      <c r="J94" s="65" t="s">
        <v>292</v>
      </c>
      <c r="K94" s="49">
        <f t="shared" si="6"/>
        <v>367.53750000000002</v>
      </c>
      <c r="L94" s="41"/>
      <c r="M94" s="41"/>
      <c r="N94" s="41"/>
      <c r="O94" s="41"/>
      <c r="P94" s="41"/>
      <c r="Q94" s="41"/>
      <c r="R94" s="41"/>
      <c r="S94" s="41"/>
      <c r="T94" s="41"/>
      <c r="U94" s="41"/>
      <c r="V94" s="41"/>
      <c r="W94" s="41"/>
      <c r="X94" s="41"/>
      <c r="Y94" s="41"/>
      <c r="Z94" s="41"/>
    </row>
    <row r="95" spans="1:26" ht="12.75" customHeight="1" x14ac:dyDescent="0.35">
      <c r="A95" s="65" t="s">
        <v>263</v>
      </c>
      <c r="B95" s="73">
        <v>10080000</v>
      </c>
      <c r="C95" s="41"/>
      <c r="D95" s="41">
        <f t="shared" si="3"/>
        <v>420</v>
      </c>
      <c r="E95" s="49">
        <f t="shared" si="4"/>
        <v>462</v>
      </c>
      <c r="F95" s="65" t="s">
        <v>292</v>
      </c>
      <c r="G95" s="49">
        <f t="shared" si="7"/>
        <v>367.53750000000002</v>
      </c>
      <c r="H95" s="41"/>
      <c r="I95" s="41"/>
      <c r="J95" s="65" t="s">
        <v>293</v>
      </c>
      <c r="K95" s="49">
        <f t="shared" si="6"/>
        <v>389.8125</v>
      </c>
      <c r="L95" s="41"/>
      <c r="M95" s="74" t="s">
        <v>294</v>
      </c>
      <c r="N95" s="41"/>
      <c r="O95" s="41"/>
      <c r="P95" s="41"/>
      <c r="Q95" s="41"/>
      <c r="R95" s="41"/>
      <c r="S95" s="41"/>
      <c r="T95" s="41"/>
      <c r="U95" s="41"/>
      <c r="V95" s="41"/>
      <c r="W95" s="41"/>
      <c r="X95" s="41"/>
      <c r="Y95" s="41"/>
      <c r="Z95" s="41"/>
    </row>
    <row r="96" spans="1:26" ht="12.75" customHeight="1" x14ac:dyDescent="0.35">
      <c r="A96" s="65" t="s">
        <v>264</v>
      </c>
      <c r="B96" s="71">
        <v>5151600</v>
      </c>
      <c r="C96" s="41"/>
      <c r="D96" s="41">
        <f t="shared" si="3"/>
        <v>214.65</v>
      </c>
      <c r="E96" s="49">
        <f t="shared" si="4"/>
        <v>236.11500000000001</v>
      </c>
      <c r="F96" s="65" t="s">
        <v>293</v>
      </c>
      <c r="G96" s="49">
        <f t="shared" si="7"/>
        <v>389.8125</v>
      </c>
      <c r="H96" s="41"/>
      <c r="I96" s="41"/>
      <c r="J96" s="41"/>
      <c r="K96" s="41"/>
      <c r="L96" s="41"/>
      <c r="M96" s="77" t="s">
        <v>177</v>
      </c>
      <c r="N96" s="41"/>
      <c r="O96" s="41"/>
      <c r="P96" s="41"/>
      <c r="Q96" s="41"/>
      <c r="R96" s="41"/>
      <c r="S96" s="41"/>
      <c r="T96" s="41"/>
      <c r="U96" s="41"/>
      <c r="V96" s="41"/>
      <c r="W96" s="41"/>
      <c r="X96" s="41"/>
      <c r="Y96" s="41"/>
      <c r="Z96" s="41"/>
    </row>
    <row r="97" spans="1:26" ht="12.75" customHeight="1" x14ac:dyDescent="0.3">
      <c r="A97" s="65" t="s">
        <v>265</v>
      </c>
      <c r="B97" s="73">
        <v>7606000</v>
      </c>
      <c r="C97" s="41"/>
      <c r="D97" s="41">
        <f t="shared" si="3"/>
        <v>316.91666666666669</v>
      </c>
      <c r="E97" s="49">
        <f t="shared" si="4"/>
        <v>348.60833333333335</v>
      </c>
      <c r="F97" s="41"/>
      <c r="G97" s="49"/>
      <c r="H97" s="41"/>
      <c r="I97" s="41"/>
      <c r="J97" s="41" t="s">
        <v>294</v>
      </c>
      <c r="K97" s="41"/>
      <c r="L97" s="41"/>
      <c r="M97" s="82" t="s">
        <v>295</v>
      </c>
      <c r="N97" s="49">
        <f t="shared" ref="N97:N102" si="8">E154</f>
        <v>43.541666666666671</v>
      </c>
      <c r="O97" s="41"/>
      <c r="P97" s="41"/>
      <c r="Q97" s="41"/>
      <c r="R97" s="41"/>
      <c r="S97" s="41"/>
      <c r="T97" s="41"/>
      <c r="U97" s="41"/>
      <c r="V97" s="41"/>
      <c r="W97" s="41"/>
      <c r="X97" s="41"/>
      <c r="Y97" s="41"/>
      <c r="Z97" s="41"/>
    </row>
    <row r="98" spans="1:26" ht="12.75" customHeight="1" x14ac:dyDescent="0.35">
      <c r="A98" s="65" t="s">
        <v>266</v>
      </c>
      <c r="B98" s="83">
        <v>7700000</v>
      </c>
      <c r="C98" s="41"/>
      <c r="D98" s="41">
        <f t="shared" si="3"/>
        <v>320.83333333333331</v>
      </c>
      <c r="E98" s="49">
        <f t="shared" si="4"/>
        <v>352.91666666666663</v>
      </c>
      <c r="F98" s="74" t="s">
        <v>294</v>
      </c>
      <c r="G98" s="49"/>
      <c r="H98" s="41"/>
      <c r="I98" s="41"/>
      <c r="J98" s="84" t="s">
        <v>176</v>
      </c>
      <c r="K98" s="41"/>
      <c r="L98" s="41"/>
      <c r="M98" s="82" t="s">
        <v>296</v>
      </c>
      <c r="N98" s="49">
        <f t="shared" si="8"/>
        <v>50.416666666666671</v>
      </c>
      <c r="O98" s="41"/>
      <c r="P98" s="41"/>
      <c r="Q98" s="41"/>
      <c r="R98" s="41"/>
      <c r="S98" s="41"/>
      <c r="T98" s="41"/>
      <c r="U98" s="41"/>
      <c r="V98" s="41"/>
      <c r="W98" s="41"/>
      <c r="X98" s="41"/>
      <c r="Y98" s="41"/>
      <c r="Z98" s="41"/>
    </row>
    <row r="99" spans="1:26" ht="12.75" customHeight="1" x14ac:dyDescent="0.3">
      <c r="A99" s="65" t="s">
        <v>267</v>
      </c>
      <c r="B99" s="83">
        <v>8250000</v>
      </c>
      <c r="C99" s="41"/>
      <c r="D99" s="41">
        <f t="shared" si="3"/>
        <v>343.75</v>
      </c>
      <c r="E99" s="49">
        <f t="shared" si="4"/>
        <v>378.125</v>
      </c>
      <c r="F99" s="84" t="s">
        <v>297</v>
      </c>
      <c r="G99" s="49"/>
      <c r="H99" s="41"/>
      <c r="I99" s="41"/>
      <c r="J99" s="85" t="s">
        <v>298</v>
      </c>
      <c r="K99" s="49">
        <f t="shared" ref="K99:K108" si="9">E141</f>
        <v>32.083333333333336</v>
      </c>
      <c r="L99" s="41"/>
      <c r="M99" s="82" t="s">
        <v>299</v>
      </c>
      <c r="N99" s="49">
        <f t="shared" si="8"/>
        <v>52.708333333333329</v>
      </c>
      <c r="O99" s="41"/>
      <c r="P99" s="41"/>
      <c r="Q99" s="41"/>
      <c r="R99" s="41"/>
      <c r="S99" s="41"/>
      <c r="T99" s="41"/>
      <c r="U99" s="41"/>
      <c r="V99" s="41"/>
      <c r="W99" s="41"/>
      <c r="X99" s="41"/>
      <c r="Y99" s="41"/>
      <c r="Z99" s="41"/>
    </row>
    <row r="100" spans="1:26" ht="12.75" customHeight="1" x14ac:dyDescent="0.3">
      <c r="A100" s="65" t="s">
        <v>268</v>
      </c>
      <c r="B100" s="41">
        <v>1850000</v>
      </c>
      <c r="C100" s="41"/>
      <c r="D100" s="41">
        <f t="shared" si="3"/>
        <v>77.083333333333329</v>
      </c>
      <c r="E100" s="49">
        <f t="shared" si="4"/>
        <v>84.791666666666657</v>
      </c>
      <c r="F100" s="82" t="s">
        <v>300</v>
      </c>
      <c r="G100" s="49">
        <f t="shared" ref="G100:G109" si="10">E129</f>
        <v>52.708333333333329</v>
      </c>
      <c r="H100" s="41"/>
      <c r="I100" s="41"/>
      <c r="J100" s="86" t="s">
        <v>301</v>
      </c>
      <c r="K100" s="49">
        <f t="shared" si="9"/>
        <v>36.666666666666671</v>
      </c>
      <c r="L100" s="41"/>
      <c r="M100" s="82" t="s">
        <v>302</v>
      </c>
      <c r="N100" s="49">
        <f t="shared" si="8"/>
        <v>75.625</v>
      </c>
      <c r="O100" s="41"/>
      <c r="P100" s="41"/>
      <c r="Q100" s="41"/>
      <c r="R100" s="41"/>
      <c r="S100" s="41"/>
      <c r="T100" s="41"/>
      <c r="U100" s="41"/>
      <c r="V100" s="41"/>
      <c r="W100" s="41"/>
      <c r="X100" s="41"/>
      <c r="Y100" s="41"/>
      <c r="Z100" s="41"/>
    </row>
    <row r="101" spans="1:26" ht="12.75" customHeight="1" x14ac:dyDescent="0.35">
      <c r="A101" s="65" t="s">
        <v>269</v>
      </c>
      <c r="B101" s="74">
        <v>2200000</v>
      </c>
      <c r="C101" s="41"/>
      <c r="D101" s="41">
        <f t="shared" si="3"/>
        <v>91.666666666666671</v>
      </c>
      <c r="E101" s="49">
        <f t="shared" si="4"/>
        <v>100.83333333333334</v>
      </c>
      <c r="F101" s="87" t="s">
        <v>303</v>
      </c>
      <c r="G101" s="49">
        <f t="shared" si="10"/>
        <v>61.875</v>
      </c>
      <c r="H101" s="41"/>
      <c r="I101" s="41"/>
      <c r="J101" s="82" t="s">
        <v>304</v>
      </c>
      <c r="K101" s="49">
        <f t="shared" si="9"/>
        <v>203.95833333333331</v>
      </c>
      <c r="L101" s="41"/>
      <c r="M101" s="82" t="s">
        <v>305</v>
      </c>
      <c r="N101" s="49">
        <f t="shared" si="8"/>
        <v>64.166666666666671</v>
      </c>
      <c r="O101" s="41"/>
      <c r="P101" s="41"/>
      <c r="Q101" s="41"/>
      <c r="R101" s="41"/>
      <c r="S101" s="41"/>
      <c r="T101" s="41"/>
      <c r="U101" s="41"/>
      <c r="V101" s="41"/>
      <c r="W101" s="41"/>
      <c r="X101" s="41"/>
      <c r="Y101" s="41"/>
      <c r="Z101" s="41"/>
    </row>
    <row r="102" spans="1:26" ht="12.75" customHeight="1" x14ac:dyDescent="0.3">
      <c r="A102" s="65" t="s">
        <v>270</v>
      </c>
      <c r="B102" s="73">
        <v>6240000</v>
      </c>
      <c r="C102" s="41"/>
      <c r="D102" s="41">
        <f t="shared" si="3"/>
        <v>260</v>
      </c>
      <c r="E102" s="49">
        <f t="shared" si="4"/>
        <v>286</v>
      </c>
      <c r="F102" s="82" t="s">
        <v>306</v>
      </c>
      <c r="G102" s="49">
        <f t="shared" si="10"/>
        <v>6.0499999999999998E-2</v>
      </c>
      <c r="H102" s="41"/>
      <c r="I102" s="41"/>
      <c r="J102" s="82" t="s">
        <v>307</v>
      </c>
      <c r="K102" s="49">
        <f t="shared" si="9"/>
        <v>226.875</v>
      </c>
      <c r="L102" s="41"/>
      <c r="M102" s="88" t="s">
        <v>308</v>
      </c>
      <c r="N102" s="49">
        <f t="shared" si="8"/>
        <v>82.5</v>
      </c>
      <c r="O102" s="41"/>
      <c r="P102" s="41"/>
      <c r="Q102" s="41"/>
      <c r="R102" s="41"/>
      <c r="S102" s="41"/>
      <c r="T102" s="41"/>
      <c r="U102" s="41"/>
      <c r="V102" s="41"/>
      <c r="W102" s="41"/>
      <c r="X102" s="41"/>
      <c r="Y102" s="41"/>
      <c r="Z102" s="41"/>
    </row>
    <row r="103" spans="1:26" ht="12.75" customHeight="1" x14ac:dyDescent="0.35">
      <c r="A103" s="65" t="s">
        <v>271</v>
      </c>
      <c r="B103" s="71">
        <v>6720000</v>
      </c>
      <c r="C103" s="41"/>
      <c r="D103" s="41">
        <f t="shared" si="3"/>
        <v>280</v>
      </c>
      <c r="E103" s="49">
        <f t="shared" si="4"/>
        <v>308</v>
      </c>
      <c r="F103" s="82" t="s">
        <v>309</v>
      </c>
      <c r="G103" s="49">
        <f t="shared" si="10"/>
        <v>0.13452083333333334</v>
      </c>
      <c r="H103" s="41"/>
      <c r="I103" s="41"/>
      <c r="J103" s="89" t="s">
        <v>310</v>
      </c>
      <c r="K103" s="49">
        <f t="shared" si="9"/>
        <v>34.375</v>
      </c>
      <c r="L103" s="41"/>
      <c r="M103" s="41"/>
      <c r="N103" s="41"/>
      <c r="O103" s="41"/>
      <c r="P103" s="41"/>
      <c r="Q103" s="41"/>
      <c r="R103" s="41"/>
      <c r="S103" s="41"/>
      <c r="T103" s="41"/>
      <c r="U103" s="41"/>
      <c r="V103" s="41"/>
      <c r="W103" s="41"/>
      <c r="X103" s="41"/>
      <c r="Y103" s="41"/>
      <c r="Z103" s="41"/>
    </row>
    <row r="104" spans="1:26" ht="12.75" customHeight="1" x14ac:dyDescent="0.4">
      <c r="A104" s="68" t="s">
        <v>272</v>
      </c>
      <c r="B104" s="71">
        <v>6480000</v>
      </c>
      <c r="C104" s="41"/>
      <c r="D104" s="41">
        <f t="shared" si="3"/>
        <v>270</v>
      </c>
      <c r="E104" s="49">
        <f t="shared" si="4"/>
        <v>297</v>
      </c>
      <c r="F104" s="82" t="s">
        <v>311</v>
      </c>
      <c r="G104" s="49">
        <f t="shared" si="10"/>
        <v>30.708333333333336</v>
      </c>
      <c r="H104" s="41"/>
      <c r="I104" s="41"/>
      <c r="J104" s="82" t="s">
        <v>312</v>
      </c>
      <c r="K104" s="49">
        <f t="shared" si="9"/>
        <v>38.958333333333329</v>
      </c>
      <c r="L104" s="41"/>
      <c r="M104" s="90" t="s">
        <v>313</v>
      </c>
      <c r="N104" s="41"/>
      <c r="O104" s="41"/>
      <c r="P104" s="41"/>
      <c r="Q104" s="41"/>
      <c r="R104" s="41"/>
      <c r="S104" s="41"/>
      <c r="T104" s="41"/>
      <c r="U104" s="41"/>
      <c r="V104" s="41"/>
      <c r="W104" s="41"/>
      <c r="X104" s="41"/>
      <c r="Y104" s="41"/>
      <c r="Z104" s="41"/>
    </row>
    <row r="105" spans="1:26" ht="12.75" customHeight="1" x14ac:dyDescent="0.35">
      <c r="A105" s="65" t="s">
        <v>273</v>
      </c>
      <c r="B105" s="71">
        <v>6960000</v>
      </c>
      <c r="C105" s="41"/>
      <c r="D105" s="41">
        <f t="shared" si="3"/>
        <v>290</v>
      </c>
      <c r="E105" s="49">
        <f t="shared" si="4"/>
        <v>319</v>
      </c>
      <c r="F105" s="82" t="s">
        <v>314</v>
      </c>
      <c r="G105" s="49">
        <f t="shared" si="10"/>
        <v>33</v>
      </c>
      <c r="H105" s="41"/>
      <c r="I105" s="41"/>
      <c r="J105" s="91" t="s">
        <v>315</v>
      </c>
      <c r="K105" s="49">
        <f t="shared" si="9"/>
        <v>592.16666666666674</v>
      </c>
      <c r="L105" s="41"/>
      <c r="M105" s="74" t="s">
        <v>316</v>
      </c>
      <c r="N105" s="41"/>
      <c r="O105" s="41"/>
      <c r="P105" s="41"/>
      <c r="Q105" s="41"/>
      <c r="R105" s="41"/>
      <c r="S105" s="41"/>
      <c r="T105" s="41"/>
      <c r="U105" s="41"/>
      <c r="V105" s="41"/>
      <c r="W105" s="41"/>
      <c r="X105" s="41"/>
      <c r="Y105" s="41"/>
      <c r="Z105" s="41"/>
    </row>
    <row r="106" spans="1:26" ht="12.75" customHeight="1" x14ac:dyDescent="0.35">
      <c r="A106" s="65" t="s">
        <v>274</v>
      </c>
      <c r="B106" s="71">
        <v>5760000</v>
      </c>
      <c r="C106" s="41"/>
      <c r="D106" s="41">
        <f t="shared" si="3"/>
        <v>240</v>
      </c>
      <c r="E106" s="49">
        <f t="shared" si="4"/>
        <v>264</v>
      </c>
      <c r="F106" s="82" t="s">
        <v>317</v>
      </c>
      <c r="G106" s="49">
        <f t="shared" si="10"/>
        <v>38.958333333333329</v>
      </c>
      <c r="H106" s="41"/>
      <c r="I106" s="41"/>
      <c r="J106" s="89" t="s">
        <v>318</v>
      </c>
      <c r="K106" s="49">
        <f t="shared" si="9"/>
        <v>844.06666666666672</v>
      </c>
      <c r="L106" s="41"/>
      <c r="M106" s="58"/>
      <c r="N106" s="41"/>
      <c r="O106" s="41"/>
      <c r="P106" s="41"/>
      <c r="Q106" s="41"/>
      <c r="R106" s="41"/>
      <c r="S106" s="41"/>
      <c r="T106" s="41"/>
      <c r="U106" s="41"/>
      <c r="V106" s="41"/>
      <c r="W106" s="41"/>
      <c r="X106" s="41"/>
      <c r="Y106" s="41"/>
      <c r="Z106" s="41"/>
    </row>
    <row r="107" spans="1:26" ht="12.75" customHeight="1" x14ac:dyDescent="0.35">
      <c r="A107" s="65" t="s">
        <v>275</v>
      </c>
      <c r="B107" s="71">
        <v>6240000</v>
      </c>
      <c r="C107" s="41"/>
      <c r="D107" s="41">
        <f t="shared" si="3"/>
        <v>260</v>
      </c>
      <c r="E107" s="49">
        <f t="shared" si="4"/>
        <v>286</v>
      </c>
      <c r="F107" s="82" t="s">
        <v>319</v>
      </c>
      <c r="G107" s="49">
        <f t="shared" si="10"/>
        <v>43.541666666666671</v>
      </c>
      <c r="H107" s="41"/>
      <c r="I107" s="41"/>
      <c r="J107" s="91" t="s">
        <v>320</v>
      </c>
      <c r="K107" s="49">
        <f t="shared" si="9"/>
        <v>75.625</v>
      </c>
      <c r="L107" s="41"/>
      <c r="M107" s="92" t="s">
        <v>321</v>
      </c>
      <c r="N107" s="49">
        <f t="shared" ref="N107:N114" si="11">E191</f>
        <v>36.666666666666671</v>
      </c>
      <c r="O107" s="41"/>
      <c r="P107" s="41"/>
      <c r="Q107" s="41"/>
      <c r="R107" s="41"/>
      <c r="S107" s="41"/>
      <c r="T107" s="41"/>
      <c r="U107" s="41"/>
      <c r="V107" s="41"/>
      <c r="W107" s="41"/>
      <c r="X107" s="41"/>
      <c r="Y107" s="41"/>
      <c r="Z107" s="41"/>
    </row>
    <row r="108" spans="1:26" ht="12.75" customHeight="1" x14ac:dyDescent="0.35">
      <c r="A108" s="65" t="s">
        <v>276</v>
      </c>
      <c r="B108" s="71">
        <v>5760000</v>
      </c>
      <c r="C108" s="41"/>
      <c r="D108" s="41">
        <f t="shared" si="3"/>
        <v>240</v>
      </c>
      <c r="E108" s="49">
        <f t="shared" si="4"/>
        <v>264</v>
      </c>
      <c r="F108" s="82" t="s">
        <v>322</v>
      </c>
      <c r="G108" s="49">
        <f t="shared" si="10"/>
        <v>32.083333333333336</v>
      </c>
      <c r="H108" s="41"/>
      <c r="I108" s="41"/>
      <c r="J108" s="91" t="s">
        <v>323</v>
      </c>
      <c r="K108" s="49">
        <f t="shared" si="9"/>
        <v>93.958333333333343</v>
      </c>
      <c r="L108" s="41"/>
      <c r="M108" s="63" t="s">
        <v>324</v>
      </c>
      <c r="N108" s="49">
        <f t="shared" si="11"/>
        <v>48.125</v>
      </c>
      <c r="O108" s="41"/>
      <c r="P108" s="41"/>
      <c r="Q108" s="41"/>
      <c r="R108" s="41"/>
      <c r="S108" s="41"/>
      <c r="T108" s="41"/>
      <c r="U108" s="41"/>
      <c r="V108" s="41"/>
      <c r="W108" s="41"/>
      <c r="X108" s="41"/>
      <c r="Y108" s="41"/>
      <c r="Z108" s="41"/>
    </row>
    <row r="109" spans="1:26" ht="12.75" customHeight="1" x14ac:dyDescent="0.35">
      <c r="A109" s="68" t="s">
        <v>277</v>
      </c>
      <c r="B109" s="71">
        <v>6240000</v>
      </c>
      <c r="C109" s="41"/>
      <c r="D109" s="41">
        <f t="shared" si="3"/>
        <v>260</v>
      </c>
      <c r="E109" s="49">
        <f t="shared" si="4"/>
        <v>286</v>
      </c>
      <c r="F109" s="82" t="s">
        <v>325</v>
      </c>
      <c r="G109" s="49">
        <f t="shared" si="10"/>
        <v>58.666666666666671</v>
      </c>
      <c r="H109" s="41"/>
      <c r="I109" s="41"/>
      <c r="J109" s="41"/>
      <c r="K109" s="41"/>
      <c r="L109" s="41"/>
      <c r="M109" s="92" t="s">
        <v>326</v>
      </c>
      <c r="N109" s="49">
        <f t="shared" si="11"/>
        <v>45.833333333333329</v>
      </c>
      <c r="O109" s="41"/>
      <c r="P109" s="41"/>
      <c r="Q109" s="41"/>
      <c r="R109" s="41"/>
      <c r="S109" s="41"/>
      <c r="T109" s="41"/>
      <c r="U109" s="41"/>
      <c r="V109" s="41"/>
      <c r="W109" s="41"/>
      <c r="X109" s="41"/>
      <c r="Y109" s="41"/>
      <c r="Z109" s="41"/>
    </row>
    <row r="110" spans="1:26" ht="12.75" customHeight="1" x14ac:dyDescent="0.35">
      <c r="A110" s="65" t="s">
        <v>278</v>
      </c>
      <c r="B110" s="74">
        <v>6600000</v>
      </c>
      <c r="C110" s="41"/>
      <c r="D110" s="41">
        <f t="shared" si="3"/>
        <v>275</v>
      </c>
      <c r="E110" s="49">
        <f t="shared" si="4"/>
        <v>302.5</v>
      </c>
      <c r="F110" s="58"/>
      <c r="G110" s="49"/>
      <c r="H110" s="41"/>
      <c r="I110" s="41"/>
      <c r="J110" s="41" t="s">
        <v>327</v>
      </c>
      <c r="K110" s="41"/>
      <c r="L110" s="41"/>
      <c r="M110" s="92" t="s">
        <v>328</v>
      </c>
      <c r="N110" s="49">
        <f t="shared" si="11"/>
        <v>50.416666666666671</v>
      </c>
      <c r="O110" s="41"/>
      <c r="P110" s="41"/>
      <c r="Q110" s="41"/>
      <c r="R110" s="41"/>
      <c r="S110" s="41"/>
      <c r="T110" s="41"/>
      <c r="U110" s="41"/>
      <c r="V110" s="41"/>
      <c r="W110" s="41"/>
      <c r="X110" s="41"/>
      <c r="Y110" s="41"/>
      <c r="Z110" s="41"/>
    </row>
    <row r="111" spans="1:26" ht="12.75" customHeight="1" x14ac:dyDescent="0.4">
      <c r="A111" s="65" t="s">
        <v>279</v>
      </c>
      <c r="B111" s="74">
        <v>7000000</v>
      </c>
      <c r="C111" s="41"/>
      <c r="D111" s="41">
        <f t="shared" si="3"/>
        <v>291.66666666666669</v>
      </c>
      <c r="E111" s="49">
        <f t="shared" si="4"/>
        <v>320.83333333333337</v>
      </c>
      <c r="F111" s="90" t="s">
        <v>313</v>
      </c>
      <c r="G111" s="49"/>
      <c r="H111" s="41"/>
      <c r="I111" s="41"/>
      <c r="J111" s="74" t="s">
        <v>176</v>
      </c>
      <c r="K111" s="41"/>
      <c r="L111" s="41"/>
      <c r="M111" s="92" t="s">
        <v>329</v>
      </c>
      <c r="N111" s="49">
        <f t="shared" si="11"/>
        <v>114.58333333333334</v>
      </c>
      <c r="O111" s="41"/>
      <c r="P111" s="41"/>
      <c r="Q111" s="41"/>
      <c r="R111" s="41"/>
      <c r="S111" s="41"/>
      <c r="T111" s="41"/>
      <c r="U111" s="41"/>
      <c r="V111" s="41"/>
      <c r="W111" s="41"/>
      <c r="X111" s="41"/>
      <c r="Y111" s="41"/>
      <c r="Z111" s="41"/>
    </row>
    <row r="112" spans="1:26" ht="12.75" customHeight="1" x14ac:dyDescent="0.35">
      <c r="A112" s="65" t="s">
        <v>280</v>
      </c>
      <c r="B112" s="74">
        <v>5700000</v>
      </c>
      <c r="C112" s="41"/>
      <c r="D112" s="41">
        <f t="shared" si="3"/>
        <v>237.5</v>
      </c>
      <c r="E112" s="49">
        <f t="shared" si="4"/>
        <v>261.25</v>
      </c>
      <c r="F112" s="74" t="s">
        <v>330</v>
      </c>
      <c r="G112" s="49"/>
      <c r="H112" s="41"/>
      <c r="I112" s="41"/>
      <c r="J112" s="63" t="s">
        <v>331</v>
      </c>
      <c r="K112" s="49">
        <f t="shared" ref="K112:K121" si="12">E177</f>
        <v>137.5</v>
      </c>
      <c r="L112" s="41"/>
      <c r="M112" s="92" t="s">
        <v>332</v>
      </c>
      <c r="N112" s="49">
        <f t="shared" si="11"/>
        <v>105.41666666666666</v>
      </c>
      <c r="O112" s="41"/>
      <c r="P112" s="41"/>
      <c r="Q112" s="41"/>
      <c r="R112" s="41"/>
      <c r="S112" s="41"/>
      <c r="T112" s="41"/>
      <c r="U112" s="41"/>
      <c r="V112" s="41"/>
      <c r="W112" s="41"/>
      <c r="X112" s="41"/>
      <c r="Y112" s="41"/>
      <c r="Z112" s="41"/>
    </row>
    <row r="113" spans="1:26" ht="12.75" customHeight="1" x14ac:dyDescent="0.35">
      <c r="A113" s="65" t="s">
        <v>281</v>
      </c>
      <c r="B113" s="74">
        <v>6840000</v>
      </c>
      <c r="C113" s="41"/>
      <c r="D113" s="41">
        <f t="shared" si="3"/>
        <v>285</v>
      </c>
      <c r="E113" s="49">
        <f t="shared" si="4"/>
        <v>313.5</v>
      </c>
      <c r="F113" s="68" t="s">
        <v>333</v>
      </c>
      <c r="G113" s="49">
        <f t="shared" ref="G113:G124" si="13">E163</f>
        <v>90.75</v>
      </c>
      <c r="H113" s="41"/>
      <c r="I113" s="41"/>
      <c r="J113" s="63" t="s">
        <v>334</v>
      </c>
      <c r="K113" s="49">
        <f t="shared" si="12"/>
        <v>148.95833333333331</v>
      </c>
      <c r="L113" s="41"/>
      <c r="M113" s="93" t="s">
        <v>335</v>
      </c>
      <c r="N113" s="49">
        <f t="shared" si="11"/>
        <v>55</v>
      </c>
      <c r="O113" s="41"/>
      <c r="P113" s="41"/>
      <c r="Q113" s="41"/>
      <c r="R113" s="41"/>
      <c r="S113" s="41"/>
      <c r="T113" s="41"/>
      <c r="U113" s="41"/>
      <c r="V113" s="41"/>
      <c r="W113" s="41"/>
      <c r="X113" s="41"/>
      <c r="Y113" s="41"/>
      <c r="Z113" s="41"/>
    </row>
    <row r="114" spans="1:26" ht="12.75" customHeight="1" x14ac:dyDescent="0.35">
      <c r="A114" s="65" t="s">
        <v>282</v>
      </c>
      <c r="B114" s="74">
        <v>5600000</v>
      </c>
      <c r="C114" s="41"/>
      <c r="D114" s="41">
        <f t="shared" si="3"/>
        <v>233.33333333333334</v>
      </c>
      <c r="E114" s="49">
        <f t="shared" si="4"/>
        <v>256.66666666666669</v>
      </c>
      <c r="F114" s="63" t="s">
        <v>336</v>
      </c>
      <c r="G114" s="49">
        <f t="shared" si="13"/>
        <v>110.91666666666666</v>
      </c>
      <c r="H114" s="41"/>
      <c r="I114" s="41"/>
      <c r="J114" s="63" t="s">
        <v>337</v>
      </c>
      <c r="K114" s="49">
        <f t="shared" si="12"/>
        <v>78.145833333333343</v>
      </c>
      <c r="L114" s="41"/>
      <c r="M114" s="92" t="s">
        <v>338</v>
      </c>
      <c r="N114" s="49">
        <f t="shared" si="11"/>
        <v>64.166666666666671</v>
      </c>
      <c r="O114" s="41"/>
      <c r="P114" s="41"/>
      <c r="Q114" s="41"/>
      <c r="R114" s="41"/>
      <c r="S114" s="41"/>
      <c r="T114" s="41"/>
      <c r="U114" s="41"/>
      <c r="V114" s="41"/>
      <c r="W114" s="41"/>
      <c r="X114" s="41"/>
      <c r="Y114" s="41"/>
      <c r="Z114" s="41"/>
    </row>
    <row r="115" spans="1:26" ht="12.75" customHeight="1" x14ac:dyDescent="0.35">
      <c r="A115" s="65" t="s">
        <v>283</v>
      </c>
      <c r="B115" s="74">
        <v>10000000</v>
      </c>
      <c r="C115" s="41"/>
      <c r="D115" s="41">
        <f t="shared" si="3"/>
        <v>416.66666666666669</v>
      </c>
      <c r="E115" s="49">
        <f t="shared" si="4"/>
        <v>458.33333333333337</v>
      </c>
      <c r="F115" s="63" t="s">
        <v>339</v>
      </c>
      <c r="G115" s="49">
        <f t="shared" si="13"/>
        <v>41.25</v>
      </c>
      <c r="H115" s="41"/>
      <c r="I115" s="41"/>
      <c r="J115" s="63" t="s">
        <v>340</v>
      </c>
      <c r="K115" s="49">
        <f t="shared" si="12"/>
        <v>88.229166666666657</v>
      </c>
      <c r="L115" s="41"/>
      <c r="M115" s="41"/>
      <c r="N115" s="41"/>
      <c r="O115" s="41"/>
      <c r="P115" s="41"/>
      <c r="Q115" s="41"/>
      <c r="R115" s="41"/>
      <c r="S115" s="41"/>
      <c r="T115" s="41"/>
      <c r="U115" s="41"/>
      <c r="V115" s="41"/>
      <c r="W115" s="41"/>
      <c r="X115" s="41"/>
      <c r="Y115" s="41"/>
      <c r="Z115" s="41"/>
    </row>
    <row r="116" spans="1:26" ht="12.75" customHeight="1" x14ac:dyDescent="0.35">
      <c r="A116" s="65" t="s">
        <v>284</v>
      </c>
      <c r="B116" s="73">
        <v>1700000</v>
      </c>
      <c r="C116" s="41"/>
      <c r="D116" s="41">
        <f t="shared" si="3"/>
        <v>70.833333333333329</v>
      </c>
      <c r="E116" s="49">
        <f t="shared" si="4"/>
        <v>77.916666666666657</v>
      </c>
      <c r="F116" s="63" t="s">
        <v>341</v>
      </c>
      <c r="G116" s="49">
        <f t="shared" si="13"/>
        <v>38.958333333333329</v>
      </c>
      <c r="H116" s="41"/>
      <c r="I116" s="41"/>
      <c r="J116" s="92" t="s">
        <v>342</v>
      </c>
      <c r="K116" s="49">
        <f t="shared" si="12"/>
        <v>68.75</v>
      </c>
      <c r="L116" s="41"/>
      <c r="M116" s="94" t="s">
        <v>343</v>
      </c>
      <c r="N116" s="41"/>
      <c r="O116" s="41"/>
      <c r="P116" s="41"/>
      <c r="Q116" s="41"/>
      <c r="R116" s="41"/>
      <c r="S116" s="41"/>
      <c r="T116" s="41"/>
      <c r="U116" s="41"/>
      <c r="V116" s="41"/>
      <c r="W116" s="41"/>
      <c r="X116" s="41"/>
      <c r="Y116" s="41"/>
      <c r="Z116" s="41"/>
    </row>
    <row r="117" spans="1:26" ht="12.75" customHeight="1" x14ac:dyDescent="0.35">
      <c r="A117" s="68" t="s">
        <v>285</v>
      </c>
      <c r="B117" s="73">
        <v>2100000</v>
      </c>
      <c r="C117" s="41"/>
      <c r="D117" s="41">
        <f t="shared" si="3"/>
        <v>87.5</v>
      </c>
      <c r="E117" s="49">
        <f t="shared" si="4"/>
        <v>96.25</v>
      </c>
      <c r="F117" s="63" t="s">
        <v>344</v>
      </c>
      <c r="G117" s="49">
        <f t="shared" si="13"/>
        <v>75.625</v>
      </c>
      <c r="H117" s="41"/>
      <c r="I117" s="41"/>
      <c r="J117" s="63" t="s">
        <v>345</v>
      </c>
      <c r="K117" s="49">
        <f t="shared" si="12"/>
        <v>73.333333333333343</v>
      </c>
      <c r="L117" s="41"/>
      <c r="M117" s="78" t="s">
        <v>177</v>
      </c>
      <c r="N117" s="41"/>
      <c r="O117" s="41"/>
      <c r="P117" s="41"/>
      <c r="Q117" s="41"/>
      <c r="R117" s="41"/>
      <c r="S117" s="41"/>
      <c r="T117" s="41"/>
      <c r="U117" s="41"/>
      <c r="V117" s="41"/>
      <c r="W117" s="41"/>
      <c r="X117" s="41"/>
      <c r="Y117" s="41"/>
      <c r="Z117" s="41"/>
    </row>
    <row r="118" spans="1:26" ht="12.75" customHeight="1" x14ac:dyDescent="0.35">
      <c r="A118" s="65" t="s">
        <v>286</v>
      </c>
      <c r="B118" s="73">
        <v>2100000</v>
      </c>
      <c r="C118" s="41"/>
      <c r="D118" s="41">
        <f t="shared" si="3"/>
        <v>87.5</v>
      </c>
      <c r="E118" s="49">
        <f t="shared" si="4"/>
        <v>96.25</v>
      </c>
      <c r="F118" s="63" t="s">
        <v>346</v>
      </c>
      <c r="G118" s="49">
        <f t="shared" si="13"/>
        <v>84.791666666666657</v>
      </c>
      <c r="H118" s="41"/>
      <c r="I118" s="41"/>
      <c r="J118" s="63" t="s">
        <v>347</v>
      </c>
      <c r="K118" s="49">
        <f t="shared" si="12"/>
        <v>111.375</v>
      </c>
      <c r="L118" s="41"/>
      <c r="M118" s="65" t="s">
        <v>348</v>
      </c>
      <c r="N118" s="49">
        <f t="shared" ref="N118:N119" si="14">E228</f>
        <v>27.5</v>
      </c>
      <c r="O118" s="41"/>
      <c r="P118" s="41"/>
      <c r="Q118" s="41"/>
      <c r="R118" s="41"/>
      <c r="S118" s="41"/>
      <c r="T118" s="41"/>
      <c r="U118" s="41"/>
      <c r="V118" s="41"/>
      <c r="W118" s="41"/>
      <c r="X118" s="41"/>
      <c r="Y118" s="41"/>
      <c r="Z118" s="41"/>
    </row>
    <row r="119" spans="1:26" ht="12.75" customHeight="1" x14ac:dyDescent="0.35">
      <c r="A119" s="65" t="s">
        <v>287</v>
      </c>
      <c r="B119" s="73">
        <v>1950000</v>
      </c>
      <c r="C119" s="41"/>
      <c r="D119" s="41">
        <f t="shared" si="3"/>
        <v>81.25</v>
      </c>
      <c r="E119" s="49">
        <f t="shared" si="4"/>
        <v>89.375</v>
      </c>
      <c r="F119" s="63">
        <v>0</v>
      </c>
      <c r="G119" s="49">
        <f t="shared" si="13"/>
        <v>0</v>
      </c>
      <c r="H119" s="41"/>
      <c r="I119" s="41"/>
      <c r="J119" s="92" t="s">
        <v>349</v>
      </c>
      <c r="K119" s="49">
        <f t="shared" si="12"/>
        <v>121.91666666666666</v>
      </c>
      <c r="L119" s="41"/>
      <c r="M119" s="65" t="s">
        <v>350</v>
      </c>
      <c r="N119" s="49">
        <f t="shared" si="14"/>
        <v>34.375</v>
      </c>
      <c r="O119" s="41"/>
      <c r="P119" s="41"/>
      <c r="Q119" s="41"/>
      <c r="R119" s="41"/>
      <c r="S119" s="41"/>
      <c r="T119" s="41"/>
      <c r="U119" s="41"/>
      <c r="V119" s="41"/>
      <c r="W119" s="41"/>
      <c r="X119" s="41"/>
      <c r="Y119" s="41"/>
      <c r="Z119" s="41"/>
    </row>
    <row r="120" spans="1:26" ht="12.75" customHeight="1" x14ac:dyDescent="0.35">
      <c r="A120" s="65" t="s">
        <v>288</v>
      </c>
      <c r="B120" s="73">
        <v>9234000</v>
      </c>
      <c r="C120" s="41"/>
      <c r="D120" s="41">
        <f t="shared" si="3"/>
        <v>384.75</v>
      </c>
      <c r="E120" s="49">
        <f t="shared" si="4"/>
        <v>423.22500000000002</v>
      </c>
      <c r="F120" s="63" t="s">
        <v>351</v>
      </c>
      <c r="G120" s="49">
        <f t="shared" si="13"/>
        <v>118.02083333333334</v>
      </c>
      <c r="H120" s="41"/>
      <c r="I120" s="41"/>
      <c r="J120" s="63" t="s">
        <v>352</v>
      </c>
      <c r="K120" s="49">
        <f t="shared" si="12"/>
        <v>103.58333333333334</v>
      </c>
      <c r="L120" s="41"/>
      <c r="M120" s="41"/>
      <c r="N120" s="41"/>
      <c r="O120" s="41"/>
      <c r="P120" s="41"/>
      <c r="Q120" s="41"/>
      <c r="R120" s="41"/>
      <c r="S120" s="41"/>
      <c r="T120" s="41"/>
      <c r="U120" s="41"/>
      <c r="V120" s="41"/>
      <c r="W120" s="41"/>
      <c r="X120" s="41"/>
      <c r="Y120" s="41"/>
      <c r="Z120" s="41"/>
    </row>
    <row r="121" spans="1:26" ht="12.75" customHeight="1" x14ac:dyDescent="0.4">
      <c r="A121" s="65" t="s">
        <v>289</v>
      </c>
      <c r="B121" s="73">
        <v>13608000</v>
      </c>
      <c r="C121" s="41"/>
      <c r="D121" s="41">
        <f t="shared" si="3"/>
        <v>567</v>
      </c>
      <c r="E121" s="49">
        <f t="shared" si="4"/>
        <v>623.70000000000005</v>
      </c>
      <c r="F121" s="63" t="s">
        <v>353</v>
      </c>
      <c r="G121" s="49">
        <f t="shared" si="13"/>
        <v>106.53958333333334</v>
      </c>
      <c r="H121" s="41"/>
      <c r="I121" s="41"/>
      <c r="J121" s="91" t="s">
        <v>354</v>
      </c>
      <c r="K121" s="49">
        <f t="shared" si="12"/>
        <v>126.5</v>
      </c>
      <c r="L121" s="41"/>
      <c r="M121" s="95" t="s">
        <v>355</v>
      </c>
      <c r="N121" s="41"/>
      <c r="O121" s="41"/>
      <c r="P121" s="41"/>
      <c r="Q121" s="41"/>
      <c r="R121" s="41"/>
      <c r="S121" s="41"/>
      <c r="T121" s="41"/>
      <c r="U121" s="41"/>
      <c r="V121" s="41"/>
      <c r="W121" s="41"/>
      <c r="X121" s="41"/>
      <c r="Y121" s="41"/>
      <c r="Z121" s="41"/>
    </row>
    <row r="122" spans="1:26" ht="12.75" customHeight="1" x14ac:dyDescent="0.35">
      <c r="A122" s="80" t="s">
        <v>290</v>
      </c>
      <c r="B122" s="71">
        <v>4600000</v>
      </c>
      <c r="C122" s="41"/>
      <c r="D122" s="41">
        <f t="shared" si="3"/>
        <v>191.66666666666666</v>
      </c>
      <c r="E122" s="49">
        <f t="shared" si="4"/>
        <v>210.83333333333331</v>
      </c>
      <c r="F122" s="63" t="s">
        <v>356</v>
      </c>
      <c r="G122" s="49">
        <f t="shared" si="13"/>
        <v>111.73708333333333</v>
      </c>
      <c r="H122" s="41"/>
      <c r="I122" s="41"/>
      <c r="J122" s="41"/>
      <c r="K122" s="41"/>
      <c r="L122" s="41"/>
      <c r="M122" s="74" t="s">
        <v>177</v>
      </c>
      <c r="N122" s="41"/>
      <c r="O122" s="41"/>
      <c r="P122" s="41"/>
      <c r="Q122" s="41"/>
      <c r="R122" s="41"/>
      <c r="S122" s="41"/>
      <c r="T122" s="41"/>
      <c r="U122" s="41"/>
      <c r="V122" s="41"/>
      <c r="W122" s="41"/>
      <c r="X122" s="41"/>
      <c r="Y122" s="41"/>
      <c r="Z122" s="41"/>
    </row>
    <row r="123" spans="1:26" ht="12.75" customHeight="1" x14ac:dyDescent="0.35">
      <c r="A123" s="65" t="s">
        <v>291</v>
      </c>
      <c r="B123" s="73">
        <v>5000000</v>
      </c>
      <c r="C123" s="41"/>
      <c r="D123" s="41">
        <f t="shared" si="3"/>
        <v>208.33333333333334</v>
      </c>
      <c r="E123" s="49">
        <f t="shared" si="4"/>
        <v>229.16666666666669</v>
      </c>
      <c r="F123" s="91" t="s">
        <v>357</v>
      </c>
      <c r="G123" s="49">
        <f t="shared" si="13"/>
        <v>68.75</v>
      </c>
      <c r="H123" s="41"/>
      <c r="I123" s="41"/>
      <c r="J123" s="41" t="s">
        <v>343</v>
      </c>
      <c r="K123" s="41"/>
      <c r="L123" s="41"/>
      <c r="M123" s="93" t="s">
        <v>358</v>
      </c>
      <c r="N123" s="49">
        <f t="shared" ref="N123:N126" si="15">E233</f>
        <v>32.083333333333336</v>
      </c>
      <c r="O123" s="41"/>
      <c r="P123" s="41"/>
      <c r="Q123" s="41"/>
      <c r="R123" s="41"/>
      <c r="S123" s="41"/>
      <c r="T123" s="41"/>
      <c r="U123" s="41"/>
      <c r="V123" s="41"/>
      <c r="W123" s="41"/>
      <c r="X123" s="41"/>
      <c r="Y123" s="41"/>
      <c r="Z123" s="41"/>
    </row>
    <row r="124" spans="1:26" ht="12.75" customHeight="1" x14ac:dyDescent="0.35">
      <c r="A124" s="65" t="s">
        <v>292</v>
      </c>
      <c r="B124" s="74">
        <v>8019000</v>
      </c>
      <c r="C124" s="41"/>
      <c r="D124" s="41">
        <f t="shared" si="3"/>
        <v>334.125</v>
      </c>
      <c r="E124" s="49">
        <f t="shared" si="4"/>
        <v>367.53750000000002</v>
      </c>
      <c r="F124" s="91" t="s">
        <v>359</v>
      </c>
      <c r="G124" s="49">
        <f t="shared" si="13"/>
        <v>73.333333333333343</v>
      </c>
      <c r="H124" s="41"/>
      <c r="I124" s="41"/>
      <c r="J124" s="78" t="s">
        <v>176</v>
      </c>
      <c r="K124" s="49"/>
      <c r="L124" s="41"/>
      <c r="M124" s="93" t="s">
        <v>360</v>
      </c>
      <c r="N124" s="49">
        <f t="shared" si="15"/>
        <v>59.583333333333329</v>
      </c>
      <c r="O124" s="41"/>
      <c r="P124" s="41"/>
      <c r="Q124" s="41"/>
      <c r="R124" s="41"/>
      <c r="S124" s="41"/>
      <c r="T124" s="41"/>
      <c r="U124" s="41"/>
      <c r="V124" s="41"/>
      <c r="W124" s="41"/>
      <c r="X124" s="41"/>
      <c r="Y124" s="41"/>
      <c r="Z124" s="41"/>
    </row>
    <row r="125" spans="1:26" ht="12.75" customHeight="1" x14ac:dyDescent="0.35">
      <c r="A125" s="65" t="s">
        <v>293</v>
      </c>
      <c r="B125" s="74">
        <v>8505000</v>
      </c>
      <c r="C125" s="41"/>
      <c r="D125" s="41">
        <f t="shared" si="3"/>
        <v>354.375</v>
      </c>
      <c r="E125" s="49">
        <f t="shared" si="4"/>
        <v>389.8125</v>
      </c>
      <c r="F125" s="41"/>
      <c r="G125" s="41"/>
      <c r="H125" s="41"/>
      <c r="I125" s="41"/>
      <c r="J125" s="65" t="s">
        <v>361</v>
      </c>
      <c r="K125" s="49">
        <f t="shared" ref="K125:K136" si="16">E213</f>
        <v>82.5</v>
      </c>
      <c r="L125" s="41"/>
      <c r="M125" s="92" t="s">
        <v>362</v>
      </c>
      <c r="N125" s="49">
        <f t="shared" si="15"/>
        <v>33</v>
      </c>
      <c r="O125" s="41"/>
      <c r="P125" s="41"/>
      <c r="Q125" s="41"/>
      <c r="R125" s="41"/>
      <c r="S125" s="41"/>
      <c r="T125" s="41"/>
      <c r="U125" s="41"/>
      <c r="V125" s="41"/>
      <c r="W125" s="41"/>
      <c r="X125" s="41"/>
      <c r="Y125" s="41"/>
      <c r="Z125" s="41"/>
    </row>
    <row r="126" spans="1:26" ht="12.75" customHeight="1" x14ac:dyDescent="0.35">
      <c r="A126" s="41"/>
      <c r="B126" s="41"/>
      <c r="C126" s="41"/>
      <c r="D126" s="41">
        <f t="shared" si="3"/>
        <v>0</v>
      </c>
      <c r="E126" s="49">
        <f t="shared" si="4"/>
        <v>0</v>
      </c>
      <c r="F126" s="94" t="s">
        <v>343</v>
      </c>
      <c r="G126" s="41"/>
      <c r="H126" s="41"/>
      <c r="I126" s="41"/>
      <c r="J126" s="65" t="s">
        <v>363</v>
      </c>
      <c r="K126" s="49">
        <f t="shared" si="16"/>
        <v>91.666666666666657</v>
      </c>
      <c r="L126" s="41"/>
      <c r="M126" s="92" t="s">
        <v>364</v>
      </c>
      <c r="N126" s="49">
        <f t="shared" si="15"/>
        <v>35.75</v>
      </c>
      <c r="O126" s="41"/>
      <c r="P126" s="41"/>
      <c r="Q126" s="41"/>
      <c r="R126" s="41"/>
      <c r="S126" s="41"/>
      <c r="T126" s="41"/>
      <c r="U126" s="41"/>
      <c r="V126" s="41"/>
      <c r="W126" s="41"/>
      <c r="X126" s="41"/>
      <c r="Y126" s="41"/>
      <c r="Z126" s="41"/>
    </row>
    <row r="127" spans="1:26" ht="12.75" customHeight="1" x14ac:dyDescent="0.35">
      <c r="A127" s="74" t="s">
        <v>294</v>
      </c>
      <c r="B127" s="96"/>
      <c r="C127" s="41"/>
      <c r="D127" s="41">
        <f t="shared" si="3"/>
        <v>0</v>
      </c>
      <c r="E127" s="49">
        <f t="shared" si="4"/>
        <v>0</v>
      </c>
      <c r="F127" s="74" t="s">
        <v>175</v>
      </c>
      <c r="G127" s="41"/>
      <c r="H127" s="41"/>
      <c r="I127" s="41"/>
      <c r="J127" s="65" t="s">
        <v>365</v>
      </c>
      <c r="K127" s="49">
        <f t="shared" si="16"/>
        <v>334.58333333333337</v>
      </c>
      <c r="L127" s="41"/>
      <c r="M127" s="41"/>
      <c r="N127" s="41"/>
      <c r="O127" s="41"/>
      <c r="P127" s="41"/>
      <c r="Q127" s="41"/>
      <c r="R127" s="41"/>
      <c r="S127" s="41"/>
      <c r="T127" s="41"/>
      <c r="U127" s="41"/>
      <c r="V127" s="41"/>
      <c r="W127" s="41"/>
      <c r="X127" s="41"/>
      <c r="Y127" s="41"/>
      <c r="Z127" s="41"/>
    </row>
    <row r="128" spans="1:26" ht="12.75" customHeight="1" x14ac:dyDescent="0.35">
      <c r="A128" s="84" t="s">
        <v>297</v>
      </c>
      <c r="B128" s="96"/>
      <c r="C128" s="41"/>
      <c r="D128" s="41">
        <f t="shared" si="3"/>
        <v>0</v>
      </c>
      <c r="E128" s="49">
        <f t="shared" si="4"/>
        <v>0</v>
      </c>
      <c r="F128" s="65" t="s">
        <v>366</v>
      </c>
      <c r="G128" s="49">
        <f t="shared" ref="G128:G137" si="17">E202</f>
        <v>74.25</v>
      </c>
      <c r="H128" s="41"/>
      <c r="I128" s="41"/>
      <c r="J128" s="65" t="s">
        <v>367</v>
      </c>
      <c r="K128" s="49">
        <f t="shared" si="16"/>
        <v>559.16666666666663</v>
      </c>
      <c r="L128" s="41"/>
      <c r="M128" s="94" t="s">
        <v>368</v>
      </c>
      <c r="N128" s="41"/>
      <c r="O128" s="41"/>
      <c r="P128" s="41"/>
      <c r="Q128" s="41"/>
      <c r="R128" s="41"/>
      <c r="S128" s="41"/>
      <c r="T128" s="41"/>
      <c r="U128" s="41"/>
      <c r="V128" s="41"/>
      <c r="W128" s="41"/>
      <c r="X128" s="41"/>
      <c r="Y128" s="41"/>
      <c r="Z128" s="41"/>
    </row>
    <row r="129" spans="1:26" ht="12.75" customHeight="1" x14ac:dyDescent="0.35">
      <c r="A129" s="82" t="s">
        <v>300</v>
      </c>
      <c r="B129" s="73">
        <v>1150000</v>
      </c>
      <c r="C129" s="41"/>
      <c r="D129" s="41">
        <f t="shared" si="3"/>
        <v>47.916666666666664</v>
      </c>
      <c r="E129" s="49">
        <f t="shared" si="4"/>
        <v>52.708333333333329</v>
      </c>
      <c r="F129" s="65" t="s">
        <v>369</v>
      </c>
      <c r="G129" s="49">
        <f t="shared" si="17"/>
        <v>99</v>
      </c>
      <c r="H129" s="41"/>
      <c r="I129" s="41"/>
      <c r="J129" s="65" t="s">
        <v>370</v>
      </c>
      <c r="K129" s="49">
        <f t="shared" si="16"/>
        <v>126.72916666666666</v>
      </c>
      <c r="L129" s="41"/>
      <c r="M129" s="77" t="s">
        <v>177</v>
      </c>
      <c r="N129" s="41"/>
      <c r="O129" s="41"/>
      <c r="P129" s="41"/>
      <c r="Q129" s="41"/>
      <c r="R129" s="41"/>
      <c r="S129" s="41"/>
      <c r="T129" s="41"/>
      <c r="U129" s="41"/>
      <c r="V129" s="41"/>
      <c r="W129" s="41"/>
      <c r="X129" s="41"/>
      <c r="Y129" s="41"/>
      <c r="Z129" s="41"/>
    </row>
    <row r="130" spans="1:26" ht="12.75" customHeight="1" x14ac:dyDescent="0.3">
      <c r="A130" s="87" t="s">
        <v>303</v>
      </c>
      <c r="B130" s="73">
        <v>1350000</v>
      </c>
      <c r="C130" s="41"/>
      <c r="D130" s="41">
        <f t="shared" si="3"/>
        <v>56.25</v>
      </c>
      <c r="E130" s="49">
        <f t="shared" si="4"/>
        <v>61.875</v>
      </c>
      <c r="F130" s="65" t="s">
        <v>371</v>
      </c>
      <c r="G130" s="49">
        <f t="shared" si="17"/>
        <v>185.80833333333334</v>
      </c>
      <c r="H130" s="41"/>
      <c r="I130" s="41"/>
      <c r="J130" s="65" t="s">
        <v>372</v>
      </c>
      <c r="K130" s="49">
        <f t="shared" si="16"/>
        <v>159.04166666666669</v>
      </c>
      <c r="L130" s="41"/>
      <c r="M130" s="91" t="s">
        <v>373</v>
      </c>
      <c r="N130" s="49">
        <f t="shared" ref="N130:N131" si="18">E297</f>
        <v>66.458333333333329</v>
      </c>
      <c r="O130" s="41"/>
      <c r="P130" s="41"/>
      <c r="Q130" s="41"/>
      <c r="R130" s="41"/>
      <c r="S130" s="41"/>
      <c r="T130" s="41"/>
      <c r="U130" s="41"/>
      <c r="V130" s="41"/>
      <c r="W130" s="41"/>
      <c r="X130" s="41"/>
      <c r="Y130" s="41"/>
      <c r="Z130" s="41"/>
    </row>
    <row r="131" spans="1:26" ht="12.75" customHeight="1" x14ac:dyDescent="0.35">
      <c r="A131" s="82" t="s">
        <v>306</v>
      </c>
      <c r="B131" s="97">
        <v>1320</v>
      </c>
      <c r="C131" s="41"/>
      <c r="D131" s="41">
        <f t="shared" si="3"/>
        <v>5.5E-2</v>
      </c>
      <c r="E131" s="49">
        <f t="shared" si="4"/>
        <v>6.0499999999999998E-2</v>
      </c>
      <c r="F131" s="65" t="s">
        <v>374</v>
      </c>
      <c r="G131" s="49">
        <f t="shared" si="17"/>
        <v>210.97083333333333</v>
      </c>
      <c r="H131" s="41"/>
      <c r="I131" s="41"/>
      <c r="J131" s="65" t="s">
        <v>375</v>
      </c>
      <c r="K131" s="49">
        <f t="shared" si="16"/>
        <v>93.5</v>
      </c>
      <c r="L131" s="41"/>
      <c r="M131" s="92" t="s">
        <v>376</v>
      </c>
      <c r="N131" s="49">
        <f t="shared" si="18"/>
        <v>75.625</v>
      </c>
      <c r="O131" s="41"/>
      <c r="P131" s="41"/>
      <c r="Q131" s="41"/>
      <c r="R131" s="41"/>
      <c r="S131" s="41"/>
      <c r="T131" s="41"/>
      <c r="U131" s="41"/>
      <c r="V131" s="41"/>
      <c r="W131" s="41"/>
      <c r="X131" s="41"/>
      <c r="Y131" s="41"/>
      <c r="Z131" s="41"/>
    </row>
    <row r="132" spans="1:26" ht="12.75" customHeight="1" x14ac:dyDescent="0.3">
      <c r="A132" s="82" t="s">
        <v>309</v>
      </c>
      <c r="B132" s="97">
        <v>2935</v>
      </c>
      <c r="C132" s="41"/>
      <c r="D132" s="41">
        <f t="shared" si="3"/>
        <v>0.12229166666666667</v>
      </c>
      <c r="E132" s="49">
        <f t="shared" si="4"/>
        <v>0.13452083333333334</v>
      </c>
      <c r="F132" s="65" t="s">
        <v>377</v>
      </c>
      <c r="G132" s="49">
        <f t="shared" si="17"/>
        <v>106.79166666666666</v>
      </c>
      <c r="H132" s="41"/>
      <c r="I132" s="41"/>
      <c r="J132" s="65" t="s">
        <v>378</v>
      </c>
      <c r="K132" s="49">
        <f t="shared" si="16"/>
        <v>116.875</v>
      </c>
      <c r="L132" s="41"/>
      <c r="M132" s="41"/>
      <c r="N132" s="41"/>
      <c r="O132" s="41"/>
      <c r="P132" s="41"/>
      <c r="Q132" s="41"/>
      <c r="R132" s="41"/>
      <c r="S132" s="41"/>
      <c r="T132" s="41"/>
      <c r="U132" s="41"/>
      <c r="V132" s="41"/>
      <c r="W132" s="41"/>
      <c r="X132" s="41"/>
      <c r="Y132" s="41"/>
      <c r="Z132" s="41"/>
    </row>
    <row r="133" spans="1:26" ht="12.75" customHeight="1" x14ac:dyDescent="0.35">
      <c r="A133" s="82" t="s">
        <v>311</v>
      </c>
      <c r="B133" s="71">
        <v>670000</v>
      </c>
      <c r="C133" s="41"/>
      <c r="D133" s="41">
        <f t="shared" si="3"/>
        <v>27.916666666666668</v>
      </c>
      <c r="E133" s="49">
        <f t="shared" si="4"/>
        <v>30.708333333333336</v>
      </c>
      <c r="F133" s="65" t="s">
        <v>379</v>
      </c>
      <c r="G133" s="49">
        <f t="shared" si="17"/>
        <v>117.33333333333334</v>
      </c>
      <c r="H133" s="41"/>
      <c r="I133" s="41"/>
      <c r="J133" s="65" t="s">
        <v>380</v>
      </c>
      <c r="K133" s="49">
        <f t="shared" si="16"/>
        <v>73.333333333333343</v>
      </c>
      <c r="L133" s="41"/>
      <c r="M133" s="41"/>
      <c r="N133" s="41"/>
      <c r="O133" s="41"/>
      <c r="P133" s="41"/>
      <c r="Q133" s="41"/>
      <c r="R133" s="41"/>
      <c r="S133" s="41"/>
      <c r="T133" s="41"/>
      <c r="U133" s="41"/>
      <c r="V133" s="41"/>
      <c r="W133" s="41"/>
      <c r="X133" s="41"/>
      <c r="Y133" s="41"/>
      <c r="Z133" s="41"/>
    </row>
    <row r="134" spans="1:26" ht="12.75" customHeight="1" x14ac:dyDescent="0.35">
      <c r="A134" s="82" t="s">
        <v>314</v>
      </c>
      <c r="B134" s="71">
        <v>720000</v>
      </c>
      <c r="C134" s="41"/>
      <c r="D134" s="41">
        <f t="shared" si="3"/>
        <v>30</v>
      </c>
      <c r="E134" s="49">
        <f t="shared" si="4"/>
        <v>33</v>
      </c>
      <c r="F134" s="68" t="s">
        <v>381</v>
      </c>
      <c r="G134" s="49">
        <f t="shared" si="17"/>
        <v>147.58333333333331</v>
      </c>
      <c r="H134" s="41"/>
      <c r="I134" s="41"/>
      <c r="J134" s="65" t="s">
        <v>382</v>
      </c>
      <c r="K134" s="49">
        <f t="shared" si="16"/>
        <v>96.25</v>
      </c>
      <c r="L134" s="41"/>
      <c r="M134" s="41"/>
      <c r="N134" s="41"/>
      <c r="O134" s="41"/>
      <c r="P134" s="41"/>
      <c r="Q134" s="41"/>
      <c r="R134" s="41"/>
      <c r="S134" s="41"/>
      <c r="T134" s="41"/>
      <c r="U134" s="41"/>
      <c r="V134" s="41"/>
      <c r="W134" s="41"/>
      <c r="X134" s="41"/>
      <c r="Y134" s="41"/>
      <c r="Z134" s="41"/>
    </row>
    <row r="135" spans="1:26" ht="12.75" customHeight="1" x14ac:dyDescent="0.3">
      <c r="A135" s="82" t="s">
        <v>317</v>
      </c>
      <c r="B135" s="73">
        <v>850000</v>
      </c>
      <c r="C135" s="41"/>
      <c r="D135" s="41">
        <f t="shared" si="3"/>
        <v>35.416666666666664</v>
      </c>
      <c r="E135" s="49">
        <f t="shared" si="4"/>
        <v>38.958333333333329</v>
      </c>
      <c r="F135" s="65" t="s">
        <v>383</v>
      </c>
      <c r="G135" s="49">
        <f t="shared" si="17"/>
        <v>295.16666666666663</v>
      </c>
      <c r="H135" s="41"/>
      <c r="I135" s="41"/>
      <c r="J135" s="65" t="s">
        <v>384</v>
      </c>
      <c r="K135" s="49">
        <f t="shared" si="16"/>
        <v>88.229166666666657</v>
      </c>
      <c r="L135" s="41"/>
      <c r="M135" s="41"/>
      <c r="N135" s="41"/>
      <c r="O135" s="41"/>
      <c r="P135" s="41"/>
      <c r="Q135" s="41"/>
      <c r="R135" s="41"/>
      <c r="S135" s="41"/>
      <c r="T135" s="41"/>
      <c r="U135" s="41"/>
      <c r="V135" s="41"/>
      <c r="W135" s="41"/>
      <c r="X135" s="41"/>
      <c r="Y135" s="41"/>
      <c r="Z135" s="41"/>
    </row>
    <row r="136" spans="1:26" ht="12.75" customHeight="1" x14ac:dyDescent="0.3">
      <c r="A136" s="82" t="s">
        <v>319</v>
      </c>
      <c r="B136" s="73">
        <v>950000</v>
      </c>
      <c r="C136" s="41"/>
      <c r="D136" s="41">
        <f t="shared" si="3"/>
        <v>39.583333333333336</v>
      </c>
      <c r="E136" s="49">
        <f t="shared" si="4"/>
        <v>43.541666666666671</v>
      </c>
      <c r="F136" s="65" t="s">
        <v>385</v>
      </c>
      <c r="G136" s="49">
        <f t="shared" si="17"/>
        <v>74.25</v>
      </c>
      <c r="H136" s="41"/>
      <c r="I136" s="41"/>
      <c r="J136" s="65" t="s">
        <v>386</v>
      </c>
      <c r="K136" s="49">
        <f t="shared" si="16"/>
        <v>100.83333333333334</v>
      </c>
      <c r="L136" s="41"/>
      <c r="M136" s="41"/>
      <c r="N136" s="41"/>
      <c r="O136" s="41"/>
      <c r="P136" s="41"/>
      <c r="Q136" s="41"/>
      <c r="R136" s="41"/>
      <c r="S136" s="41"/>
      <c r="T136" s="41"/>
      <c r="U136" s="41"/>
      <c r="V136" s="41"/>
      <c r="W136" s="41"/>
      <c r="X136" s="41"/>
      <c r="Y136" s="41"/>
      <c r="Z136" s="41"/>
    </row>
    <row r="137" spans="1:26" ht="12.75" customHeight="1" x14ac:dyDescent="0.35">
      <c r="A137" s="82" t="s">
        <v>322</v>
      </c>
      <c r="B137" s="74">
        <v>700000</v>
      </c>
      <c r="C137" s="41"/>
      <c r="D137" s="41">
        <f t="shared" si="3"/>
        <v>29.166666666666668</v>
      </c>
      <c r="E137" s="49">
        <f t="shared" si="4"/>
        <v>32.083333333333336</v>
      </c>
      <c r="F137" s="65" t="s">
        <v>387</v>
      </c>
      <c r="G137" s="49">
        <f t="shared" si="17"/>
        <v>83.416666666666657</v>
      </c>
      <c r="H137" s="41"/>
      <c r="I137" s="41"/>
      <c r="J137" s="41"/>
      <c r="K137" s="41"/>
      <c r="L137" s="41"/>
      <c r="M137" s="41"/>
      <c r="N137" s="41"/>
      <c r="O137" s="41"/>
      <c r="P137" s="41"/>
      <c r="Q137" s="41"/>
      <c r="R137" s="41"/>
      <c r="S137" s="41"/>
      <c r="T137" s="41"/>
      <c r="U137" s="41"/>
      <c r="V137" s="41"/>
      <c r="W137" s="41"/>
      <c r="X137" s="41"/>
      <c r="Y137" s="41"/>
      <c r="Z137" s="41"/>
    </row>
    <row r="138" spans="1:26" ht="12.75" customHeight="1" x14ac:dyDescent="0.3">
      <c r="A138" s="82" t="s">
        <v>325</v>
      </c>
      <c r="B138" s="78">
        <v>1280000</v>
      </c>
      <c r="C138" s="41"/>
      <c r="D138" s="41">
        <f t="shared" si="3"/>
        <v>53.333333333333336</v>
      </c>
      <c r="E138" s="49">
        <f t="shared" si="4"/>
        <v>58.666666666666671</v>
      </c>
      <c r="F138" s="41"/>
      <c r="G138" s="41"/>
      <c r="H138" s="41"/>
      <c r="I138" s="41"/>
      <c r="J138" s="41"/>
      <c r="K138" s="41"/>
      <c r="L138" s="41"/>
      <c r="M138" s="41"/>
      <c r="N138" s="41"/>
      <c r="O138" s="41"/>
      <c r="P138" s="41"/>
      <c r="Q138" s="41"/>
      <c r="R138" s="41"/>
      <c r="S138" s="41"/>
      <c r="T138" s="41"/>
      <c r="U138" s="41"/>
      <c r="V138" s="41"/>
      <c r="W138" s="41"/>
      <c r="X138" s="41"/>
      <c r="Y138" s="41"/>
      <c r="Z138" s="41"/>
    </row>
    <row r="139" spans="1:26" ht="12.75" customHeight="1" x14ac:dyDescent="0.4">
      <c r="A139" s="58"/>
      <c r="B139" s="58"/>
      <c r="C139" s="41"/>
      <c r="D139" s="41">
        <f t="shared" si="3"/>
        <v>0</v>
      </c>
      <c r="E139" s="49">
        <f t="shared" si="4"/>
        <v>0</v>
      </c>
      <c r="F139" s="41"/>
      <c r="G139" s="41"/>
      <c r="H139" s="41"/>
      <c r="I139" s="41"/>
      <c r="J139" s="95" t="s">
        <v>355</v>
      </c>
      <c r="K139" s="41"/>
      <c r="L139" s="41"/>
      <c r="M139" s="41"/>
      <c r="N139" s="41"/>
      <c r="O139" s="41"/>
      <c r="P139" s="41"/>
      <c r="Q139" s="41"/>
      <c r="R139" s="41"/>
      <c r="S139" s="41"/>
      <c r="T139" s="41"/>
      <c r="U139" s="41"/>
      <c r="V139" s="41"/>
      <c r="W139" s="41"/>
      <c r="X139" s="41"/>
      <c r="Y139" s="41"/>
      <c r="Z139" s="41"/>
    </row>
    <row r="140" spans="1:26" ht="12.75" customHeight="1" x14ac:dyDescent="0.35">
      <c r="A140" s="84" t="s">
        <v>176</v>
      </c>
      <c r="B140" s="58"/>
      <c r="C140" s="41"/>
      <c r="D140" s="41">
        <f t="shared" si="3"/>
        <v>0</v>
      </c>
      <c r="E140" s="49">
        <f t="shared" si="4"/>
        <v>0</v>
      </c>
      <c r="F140" s="41" t="s">
        <v>388</v>
      </c>
      <c r="G140" s="41"/>
      <c r="H140" s="41"/>
      <c r="I140" s="41"/>
      <c r="J140" s="77" t="s">
        <v>176</v>
      </c>
      <c r="K140" s="41"/>
      <c r="L140" s="41"/>
      <c r="M140" s="41"/>
      <c r="N140" s="41"/>
      <c r="O140" s="41"/>
      <c r="P140" s="41"/>
      <c r="Q140" s="41"/>
      <c r="R140" s="41"/>
      <c r="S140" s="41"/>
      <c r="T140" s="41"/>
      <c r="U140" s="41"/>
      <c r="V140" s="41"/>
      <c r="W140" s="41"/>
      <c r="X140" s="41"/>
      <c r="Y140" s="41"/>
      <c r="Z140" s="41"/>
    </row>
    <row r="141" spans="1:26" ht="12.75" customHeight="1" x14ac:dyDescent="0.35">
      <c r="A141" s="85" t="s">
        <v>298</v>
      </c>
      <c r="B141" s="71">
        <v>700000</v>
      </c>
      <c r="C141" s="41"/>
      <c r="D141" s="41">
        <f t="shared" si="3"/>
        <v>29.166666666666668</v>
      </c>
      <c r="E141" s="49">
        <f t="shared" si="4"/>
        <v>32.083333333333336</v>
      </c>
      <c r="F141" s="77" t="s">
        <v>330</v>
      </c>
      <c r="G141" s="41"/>
      <c r="H141" s="41"/>
      <c r="I141" s="41"/>
      <c r="J141" s="92" t="s">
        <v>389</v>
      </c>
      <c r="K141" s="49">
        <f t="shared" ref="K141:K150" si="19">E254</f>
        <v>80.208333333333343</v>
      </c>
      <c r="L141" s="41"/>
      <c r="M141" s="41"/>
      <c r="N141" s="41"/>
      <c r="O141" s="41"/>
      <c r="P141" s="41"/>
      <c r="Q141" s="41"/>
      <c r="R141" s="41"/>
      <c r="S141" s="41"/>
      <c r="T141" s="41"/>
      <c r="U141" s="41"/>
      <c r="V141" s="41"/>
      <c r="W141" s="41"/>
      <c r="X141" s="41"/>
      <c r="Y141" s="41"/>
      <c r="Z141" s="41"/>
    </row>
    <row r="142" spans="1:26" ht="12.75" customHeight="1" x14ac:dyDescent="0.35">
      <c r="A142" s="86" t="s">
        <v>301</v>
      </c>
      <c r="B142" s="98">
        <v>800000</v>
      </c>
      <c r="C142" s="41"/>
      <c r="D142" s="41">
        <f t="shared" si="3"/>
        <v>33.333333333333336</v>
      </c>
      <c r="E142" s="49">
        <f t="shared" si="4"/>
        <v>36.666666666666671</v>
      </c>
      <c r="F142" s="99" t="s">
        <v>390</v>
      </c>
      <c r="G142" s="49">
        <f t="shared" ref="G142:G151" si="20">E240</f>
        <v>22.916666666666664</v>
      </c>
      <c r="H142" s="41"/>
      <c r="I142" s="41"/>
      <c r="J142" s="92" t="s">
        <v>391</v>
      </c>
      <c r="K142" s="49">
        <f t="shared" si="19"/>
        <v>89.375</v>
      </c>
      <c r="L142" s="41"/>
      <c r="M142" s="41"/>
      <c r="N142" s="41"/>
      <c r="O142" s="41"/>
      <c r="P142" s="41"/>
      <c r="Q142" s="41"/>
      <c r="R142" s="41"/>
      <c r="S142" s="41"/>
      <c r="T142" s="41"/>
      <c r="U142" s="41"/>
      <c r="V142" s="41"/>
      <c r="W142" s="41"/>
      <c r="X142" s="41"/>
      <c r="Y142" s="41"/>
      <c r="Z142" s="41"/>
    </row>
    <row r="143" spans="1:26" ht="12.75" customHeight="1" x14ac:dyDescent="0.35">
      <c r="A143" s="82" t="s">
        <v>304</v>
      </c>
      <c r="B143" s="71">
        <v>4450000</v>
      </c>
      <c r="C143" s="41"/>
      <c r="D143" s="41">
        <f t="shared" si="3"/>
        <v>185.41666666666666</v>
      </c>
      <c r="E143" s="49">
        <f t="shared" si="4"/>
        <v>203.95833333333331</v>
      </c>
      <c r="F143" s="99" t="s">
        <v>392</v>
      </c>
      <c r="G143" s="49">
        <f t="shared" si="20"/>
        <v>27.5</v>
      </c>
      <c r="H143" s="41"/>
      <c r="I143" s="41"/>
      <c r="J143" s="92" t="s">
        <v>393</v>
      </c>
      <c r="K143" s="49">
        <f t="shared" si="19"/>
        <v>66.458333333333329</v>
      </c>
      <c r="L143" s="41"/>
      <c r="M143" s="41"/>
      <c r="N143" s="41"/>
      <c r="O143" s="41"/>
      <c r="P143" s="41"/>
      <c r="Q143" s="41"/>
      <c r="R143" s="41"/>
      <c r="S143" s="41"/>
      <c r="T143" s="41"/>
      <c r="U143" s="41"/>
      <c r="V143" s="41"/>
      <c r="W143" s="41"/>
      <c r="X143" s="41"/>
      <c r="Y143" s="41"/>
      <c r="Z143" s="41"/>
    </row>
    <row r="144" spans="1:26" ht="12.75" customHeight="1" x14ac:dyDescent="0.35">
      <c r="A144" s="82" t="s">
        <v>307</v>
      </c>
      <c r="B144" s="100">
        <v>4950000</v>
      </c>
      <c r="C144" s="41"/>
      <c r="D144" s="41">
        <f t="shared" si="3"/>
        <v>206.25</v>
      </c>
      <c r="E144" s="49">
        <f t="shared" si="4"/>
        <v>226.875</v>
      </c>
      <c r="F144" s="92" t="s">
        <v>394</v>
      </c>
      <c r="G144" s="49">
        <f t="shared" si="20"/>
        <v>250.8</v>
      </c>
      <c r="H144" s="41"/>
      <c r="I144" s="41"/>
      <c r="J144" s="92" t="s">
        <v>395</v>
      </c>
      <c r="K144" s="49">
        <f t="shared" si="19"/>
        <v>66.458333333333329</v>
      </c>
      <c r="L144" s="41"/>
      <c r="M144" s="41"/>
      <c r="N144" s="41"/>
      <c r="O144" s="41"/>
      <c r="P144" s="41"/>
      <c r="Q144" s="41"/>
      <c r="R144" s="41"/>
      <c r="S144" s="41"/>
      <c r="T144" s="41"/>
      <c r="U144" s="41"/>
      <c r="V144" s="41"/>
      <c r="W144" s="41"/>
      <c r="X144" s="41"/>
      <c r="Y144" s="41"/>
      <c r="Z144" s="41"/>
    </row>
    <row r="145" spans="1:26" ht="12.75" customHeight="1" x14ac:dyDescent="0.35">
      <c r="A145" s="89" t="s">
        <v>310</v>
      </c>
      <c r="B145" s="101">
        <v>750000</v>
      </c>
      <c r="C145" s="41"/>
      <c r="D145" s="41">
        <f t="shared" si="3"/>
        <v>31.25</v>
      </c>
      <c r="E145" s="49">
        <f t="shared" si="4"/>
        <v>34.375</v>
      </c>
      <c r="F145" s="63" t="s">
        <v>396</v>
      </c>
      <c r="G145" s="49">
        <f t="shared" si="20"/>
        <v>299.2</v>
      </c>
      <c r="H145" s="41"/>
      <c r="I145" s="41"/>
      <c r="J145" s="92" t="s">
        <v>397</v>
      </c>
      <c r="K145" s="49">
        <f t="shared" si="19"/>
        <v>130.625</v>
      </c>
      <c r="L145" s="41"/>
      <c r="M145" s="41"/>
      <c r="N145" s="41"/>
      <c r="O145" s="41"/>
      <c r="P145" s="41"/>
      <c r="Q145" s="41"/>
      <c r="R145" s="41"/>
      <c r="S145" s="41"/>
      <c r="T145" s="41"/>
      <c r="U145" s="41"/>
      <c r="V145" s="41"/>
      <c r="W145" s="41"/>
      <c r="X145" s="41"/>
      <c r="Y145" s="41"/>
      <c r="Z145" s="41"/>
    </row>
    <row r="146" spans="1:26" ht="12.75" customHeight="1" x14ac:dyDescent="0.35">
      <c r="A146" s="82" t="s">
        <v>312</v>
      </c>
      <c r="B146" s="84">
        <v>850000</v>
      </c>
      <c r="C146" s="41"/>
      <c r="D146" s="41">
        <f t="shared" si="3"/>
        <v>35.416666666666664</v>
      </c>
      <c r="E146" s="49">
        <f t="shared" si="4"/>
        <v>38.958333333333329</v>
      </c>
      <c r="F146" s="99" t="s">
        <v>398</v>
      </c>
      <c r="G146" s="49">
        <f t="shared" si="20"/>
        <v>142.08333333333331</v>
      </c>
      <c r="H146" s="41"/>
      <c r="I146" s="41"/>
      <c r="J146" s="92" t="s">
        <v>399</v>
      </c>
      <c r="K146" s="49">
        <f t="shared" si="19"/>
        <v>159.5</v>
      </c>
      <c r="L146" s="41"/>
      <c r="M146" s="41"/>
      <c r="N146" s="41"/>
      <c r="O146" s="41"/>
      <c r="P146" s="41"/>
      <c r="Q146" s="41"/>
      <c r="R146" s="41"/>
      <c r="S146" s="41"/>
      <c r="T146" s="41"/>
      <c r="U146" s="41"/>
      <c r="V146" s="41"/>
      <c r="W146" s="41"/>
      <c r="X146" s="41"/>
      <c r="Y146" s="41"/>
      <c r="Z146" s="41"/>
    </row>
    <row r="147" spans="1:26" ht="12.75" customHeight="1" x14ac:dyDescent="0.35">
      <c r="A147" s="91" t="s">
        <v>315</v>
      </c>
      <c r="B147" s="102">
        <v>12920000</v>
      </c>
      <c r="C147" s="41"/>
      <c r="D147" s="41">
        <f t="shared" si="3"/>
        <v>538.33333333333337</v>
      </c>
      <c r="E147" s="49">
        <f t="shared" si="4"/>
        <v>592.16666666666674</v>
      </c>
      <c r="F147" s="99" t="s">
        <v>400</v>
      </c>
      <c r="G147" s="49">
        <f t="shared" si="20"/>
        <v>197.08333333333331</v>
      </c>
      <c r="H147" s="41"/>
      <c r="I147" s="41"/>
      <c r="J147" s="92" t="s">
        <v>401</v>
      </c>
      <c r="K147" s="49">
        <f t="shared" si="19"/>
        <v>210.83333333333331</v>
      </c>
      <c r="L147" s="41"/>
      <c r="M147" s="41"/>
      <c r="N147" s="41"/>
      <c r="O147" s="41"/>
      <c r="P147" s="41"/>
      <c r="Q147" s="41"/>
      <c r="R147" s="41"/>
      <c r="S147" s="41"/>
      <c r="T147" s="41"/>
      <c r="U147" s="41"/>
      <c r="V147" s="41"/>
      <c r="W147" s="41"/>
      <c r="X147" s="41"/>
      <c r="Y147" s="41"/>
      <c r="Z147" s="41"/>
    </row>
    <row r="148" spans="1:26" ht="12.75" customHeight="1" x14ac:dyDescent="0.35">
      <c r="A148" s="89" t="s">
        <v>318</v>
      </c>
      <c r="B148" s="103">
        <v>18416000</v>
      </c>
      <c r="C148" s="41"/>
      <c r="D148" s="41">
        <f t="shared" si="3"/>
        <v>767.33333333333337</v>
      </c>
      <c r="E148" s="49">
        <f t="shared" si="4"/>
        <v>844.06666666666672</v>
      </c>
      <c r="F148" s="99" t="s">
        <v>402</v>
      </c>
      <c r="G148" s="49">
        <f t="shared" si="20"/>
        <v>48.125</v>
      </c>
      <c r="H148" s="41"/>
      <c r="I148" s="41"/>
      <c r="J148" s="92" t="s">
        <v>403</v>
      </c>
      <c r="K148" s="49">
        <f t="shared" si="19"/>
        <v>245.20833333333331</v>
      </c>
      <c r="L148" s="41"/>
      <c r="M148" s="41"/>
      <c r="N148" s="41"/>
      <c r="O148" s="41"/>
      <c r="P148" s="41"/>
      <c r="Q148" s="41"/>
      <c r="R148" s="41"/>
      <c r="S148" s="41"/>
      <c r="T148" s="41"/>
      <c r="U148" s="41"/>
      <c r="V148" s="41"/>
      <c r="W148" s="41"/>
      <c r="X148" s="41"/>
      <c r="Y148" s="41"/>
      <c r="Z148" s="41"/>
    </row>
    <row r="149" spans="1:26" ht="12.75" customHeight="1" x14ac:dyDescent="0.35">
      <c r="A149" s="91" t="s">
        <v>320</v>
      </c>
      <c r="B149" s="104">
        <v>1650000</v>
      </c>
      <c r="C149" s="41"/>
      <c r="D149" s="41">
        <f t="shared" si="3"/>
        <v>68.75</v>
      </c>
      <c r="E149" s="49">
        <f t="shared" si="4"/>
        <v>75.625</v>
      </c>
      <c r="F149" s="99" t="s">
        <v>404</v>
      </c>
      <c r="G149" s="49">
        <f t="shared" si="20"/>
        <v>75.625</v>
      </c>
      <c r="H149" s="41"/>
      <c r="I149" s="41"/>
      <c r="J149" s="92" t="s">
        <v>405</v>
      </c>
      <c r="K149" s="49">
        <f t="shared" si="19"/>
        <v>118.70833333333334</v>
      </c>
      <c r="L149" s="41"/>
      <c r="M149" s="41"/>
      <c r="N149" s="41"/>
      <c r="O149" s="41"/>
      <c r="P149" s="41"/>
      <c r="Q149" s="41"/>
      <c r="R149" s="41"/>
      <c r="S149" s="41"/>
      <c r="T149" s="41"/>
      <c r="U149" s="41"/>
      <c r="V149" s="41"/>
      <c r="W149" s="41"/>
      <c r="X149" s="41"/>
      <c r="Y149" s="41"/>
      <c r="Z149" s="41"/>
    </row>
    <row r="150" spans="1:26" ht="12.75" customHeight="1" x14ac:dyDescent="0.35">
      <c r="A150" s="91" t="s">
        <v>323</v>
      </c>
      <c r="B150" s="100">
        <v>2050000</v>
      </c>
      <c r="C150" s="41"/>
      <c r="D150" s="41">
        <f t="shared" si="3"/>
        <v>85.416666666666671</v>
      </c>
      <c r="E150" s="49">
        <f t="shared" si="4"/>
        <v>93.958333333333343</v>
      </c>
      <c r="F150" s="99" t="s">
        <v>406</v>
      </c>
      <c r="G150" s="49">
        <f t="shared" si="20"/>
        <v>160.41666666666669</v>
      </c>
      <c r="H150" s="41"/>
      <c r="I150" s="41"/>
      <c r="J150" s="92" t="s">
        <v>407</v>
      </c>
      <c r="K150" s="49">
        <f t="shared" si="19"/>
        <v>137.04166666666666</v>
      </c>
      <c r="L150" s="41"/>
      <c r="M150" s="41"/>
      <c r="N150" s="41"/>
      <c r="O150" s="41"/>
      <c r="P150" s="41"/>
      <c r="Q150" s="41"/>
      <c r="R150" s="41"/>
      <c r="S150" s="41"/>
      <c r="T150" s="41"/>
      <c r="U150" s="41"/>
      <c r="V150" s="41"/>
      <c r="W150" s="41"/>
      <c r="X150" s="41"/>
      <c r="Y150" s="41"/>
      <c r="Z150" s="41"/>
    </row>
    <row r="151" spans="1:26" ht="12.75" customHeight="1" x14ac:dyDescent="0.35">
      <c r="A151" s="58"/>
      <c r="B151" s="58"/>
      <c r="C151" s="41"/>
      <c r="D151" s="41">
        <f t="shared" si="3"/>
        <v>0</v>
      </c>
      <c r="E151" s="49">
        <f t="shared" si="4"/>
        <v>0</v>
      </c>
      <c r="F151" s="99" t="s">
        <v>408</v>
      </c>
      <c r="G151" s="49">
        <f t="shared" si="20"/>
        <v>174.16666666666669</v>
      </c>
      <c r="H151" s="41"/>
      <c r="I151" s="41"/>
      <c r="J151" s="41"/>
      <c r="K151" s="41"/>
      <c r="L151" s="41"/>
      <c r="M151" s="41"/>
      <c r="N151" s="41"/>
      <c r="O151" s="41"/>
      <c r="P151" s="41"/>
      <c r="Q151" s="41"/>
      <c r="R151" s="41"/>
      <c r="S151" s="41"/>
      <c r="T151" s="41"/>
      <c r="U151" s="41"/>
      <c r="V151" s="41"/>
      <c r="W151" s="41"/>
      <c r="X151" s="41"/>
      <c r="Y151" s="41"/>
      <c r="Z151" s="41"/>
    </row>
    <row r="152" spans="1:26" ht="12.75" customHeight="1" x14ac:dyDescent="0.35">
      <c r="A152" s="58"/>
      <c r="B152" s="58"/>
      <c r="C152" s="41"/>
      <c r="D152" s="41">
        <f t="shared" si="3"/>
        <v>0</v>
      </c>
      <c r="E152" s="49">
        <f t="shared" si="4"/>
        <v>0</v>
      </c>
      <c r="F152" s="82"/>
      <c r="G152" s="49"/>
      <c r="H152" s="41"/>
      <c r="I152" s="41"/>
      <c r="J152" s="94" t="s">
        <v>368</v>
      </c>
      <c r="K152" s="41"/>
      <c r="L152" s="41"/>
      <c r="M152" s="41"/>
      <c r="N152" s="41"/>
      <c r="O152" s="41"/>
      <c r="P152" s="41"/>
      <c r="Q152" s="41"/>
      <c r="R152" s="41"/>
      <c r="S152" s="41"/>
      <c r="T152" s="41"/>
      <c r="U152" s="41"/>
      <c r="V152" s="41"/>
      <c r="W152" s="41"/>
      <c r="X152" s="41"/>
      <c r="Y152" s="41"/>
      <c r="Z152" s="41"/>
    </row>
    <row r="153" spans="1:26" ht="12.75" customHeight="1" x14ac:dyDescent="0.35">
      <c r="A153" s="77" t="s">
        <v>177</v>
      </c>
      <c r="B153" s="58"/>
      <c r="C153" s="41"/>
      <c r="D153" s="41">
        <f t="shared" si="3"/>
        <v>0</v>
      </c>
      <c r="E153" s="49">
        <f t="shared" si="4"/>
        <v>0</v>
      </c>
      <c r="F153" s="82" t="s">
        <v>368</v>
      </c>
      <c r="G153" s="49"/>
      <c r="H153" s="41"/>
      <c r="I153" s="41"/>
      <c r="J153" s="77" t="s">
        <v>176</v>
      </c>
      <c r="K153" s="41"/>
      <c r="L153" s="41"/>
      <c r="M153" s="41"/>
      <c r="N153" s="41"/>
      <c r="O153" s="41"/>
      <c r="P153" s="41"/>
      <c r="Q153" s="41"/>
      <c r="R153" s="41"/>
      <c r="S153" s="41"/>
      <c r="T153" s="41"/>
      <c r="U153" s="41"/>
      <c r="V153" s="41"/>
      <c r="W153" s="41"/>
      <c r="X153" s="41"/>
      <c r="Y153" s="41"/>
      <c r="Z153" s="41"/>
    </row>
    <row r="154" spans="1:26" ht="12.75" customHeight="1" x14ac:dyDescent="0.35">
      <c r="A154" s="82" t="s">
        <v>295</v>
      </c>
      <c r="B154" s="100">
        <v>950000</v>
      </c>
      <c r="C154" s="41"/>
      <c r="D154" s="41">
        <f t="shared" si="3"/>
        <v>39.583333333333336</v>
      </c>
      <c r="E154" s="49">
        <f t="shared" si="4"/>
        <v>43.541666666666671</v>
      </c>
      <c r="F154" s="77" t="s">
        <v>330</v>
      </c>
      <c r="G154" s="49"/>
      <c r="H154" s="41"/>
      <c r="I154" s="41"/>
      <c r="J154" s="99" t="s">
        <v>409</v>
      </c>
      <c r="K154" s="49">
        <f t="shared" ref="K154:K161" si="21">E267</f>
        <v>107.70833333333334</v>
      </c>
      <c r="L154" s="41"/>
      <c r="M154" s="41"/>
      <c r="N154" s="41"/>
      <c r="O154" s="41"/>
      <c r="P154" s="41"/>
      <c r="Q154" s="41"/>
      <c r="R154" s="41"/>
      <c r="S154" s="41"/>
      <c r="T154" s="41"/>
      <c r="U154" s="41"/>
      <c r="V154" s="41"/>
      <c r="W154" s="41"/>
      <c r="X154" s="41"/>
      <c r="Y154" s="41"/>
      <c r="Z154" s="41"/>
    </row>
    <row r="155" spans="1:26" ht="12.75" customHeight="1" x14ac:dyDescent="0.35">
      <c r="A155" s="82" t="s">
        <v>296</v>
      </c>
      <c r="B155" s="103">
        <v>1100000</v>
      </c>
      <c r="C155" s="41"/>
      <c r="D155" s="41">
        <f t="shared" si="3"/>
        <v>45.833333333333336</v>
      </c>
      <c r="E155" s="49">
        <f t="shared" si="4"/>
        <v>50.416666666666671</v>
      </c>
      <c r="F155" s="99" t="s">
        <v>410</v>
      </c>
      <c r="G155" s="49">
        <f t="shared" ref="G155:G166" si="22">E283</f>
        <v>71.041666666666657</v>
      </c>
      <c r="H155" s="41"/>
      <c r="I155" s="41"/>
      <c r="J155" s="99" t="s">
        <v>411</v>
      </c>
      <c r="K155" s="49">
        <f t="shared" si="21"/>
        <v>116.875</v>
      </c>
      <c r="L155" s="41"/>
      <c r="M155" s="41"/>
      <c r="N155" s="41"/>
      <c r="O155" s="41"/>
      <c r="P155" s="41"/>
      <c r="Q155" s="41"/>
      <c r="R155" s="41"/>
      <c r="S155" s="41"/>
      <c r="T155" s="41"/>
      <c r="U155" s="41"/>
      <c r="V155" s="41"/>
      <c r="W155" s="41"/>
      <c r="X155" s="41"/>
      <c r="Y155" s="41"/>
      <c r="Z155" s="41"/>
    </row>
    <row r="156" spans="1:26" ht="12.75" customHeight="1" x14ac:dyDescent="0.35">
      <c r="A156" s="82" t="s">
        <v>299</v>
      </c>
      <c r="B156" s="100">
        <v>1150000</v>
      </c>
      <c r="C156" s="41"/>
      <c r="D156" s="41">
        <f t="shared" si="3"/>
        <v>47.916666666666664</v>
      </c>
      <c r="E156" s="49">
        <f t="shared" si="4"/>
        <v>52.708333333333329</v>
      </c>
      <c r="F156" s="63" t="s">
        <v>412</v>
      </c>
      <c r="G156" s="49">
        <f t="shared" si="22"/>
        <v>75.625</v>
      </c>
      <c r="H156" s="41"/>
      <c r="I156" s="41"/>
      <c r="J156" s="99" t="s">
        <v>413</v>
      </c>
      <c r="K156" s="49">
        <f t="shared" si="21"/>
        <v>81.583333333333343</v>
      </c>
      <c r="L156" s="41"/>
      <c r="M156" s="41"/>
      <c r="N156" s="41"/>
      <c r="O156" s="41"/>
      <c r="P156" s="41"/>
      <c r="Q156" s="41"/>
      <c r="R156" s="41"/>
      <c r="S156" s="41"/>
      <c r="T156" s="41"/>
      <c r="U156" s="41"/>
      <c r="V156" s="41"/>
      <c r="W156" s="41"/>
      <c r="X156" s="41"/>
      <c r="Y156" s="41"/>
      <c r="Z156" s="41"/>
    </row>
    <row r="157" spans="1:26" ht="12.75" customHeight="1" x14ac:dyDescent="0.35">
      <c r="A157" s="82" t="s">
        <v>302</v>
      </c>
      <c r="B157" s="100">
        <v>1650000</v>
      </c>
      <c r="C157" s="41"/>
      <c r="D157" s="41">
        <f t="shared" si="3"/>
        <v>68.75</v>
      </c>
      <c r="E157" s="49">
        <f t="shared" si="4"/>
        <v>75.625</v>
      </c>
      <c r="F157" s="92" t="s">
        <v>414</v>
      </c>
      <c r="G157" s="49">
        <f t="shared" si="22"/>
        <v>86.166666666666657</v>
      </c>
      <c r="H157" s="41"/>
      <c r="I157" s="41"/>
      <c r="J157" s="92" t="s">
        <v>415</v>
      </c>
      <c r="K157" s="49">
        <f t="shared" si="21"/>
        <v>88.458333333333343</v>
      </c>
      <c r="L157" s="41"/>
      <c r="M157" s="41"/>
      <c r="N157" s="41"/>
      <c r="O157" s="41"/>
      <c r="P157" s="41"/>
      <c r="Q157" s="41"/>
      <c r="R157" s="41"/>
      <c r="S157" s="41"/>
      <c r="T157" s="41"/>
      <c r="U157" s="41"/>
      <c r="V157" s="41"/>
      <c r="W157" s="41"/>
      <c r="X157" s="41"/>
      <c r="Y157" s="41"/>
      <c r="Z157" s="41"/>
    </row>
    <row r="158" spans="1:26" ht="12.75" customHeight="1" x14ac:dyDescent="0.35">
      <c r="A158" s="82" t="s">
        <v>305</v>
      </c>
      <c r="B158" s="100">
        <v>1400000</v>
      </c>
      <c r="C158" s="41"/>
      <c r="D158" s="41">
        <f t="shared" si="3"/>
        <v>58.333333333333336</v>
      </c>
      <c r="E158" s="49">
        <f t="shared" si="4"/>
        <v>64.166666666666671</v>
      </c>
      <c r="F158" s="92" t="s">
        <v>416</v>
      </c>
      <c r="G158" s="49">
        <f t="shared" si="22"/>
        <v>96.9375</v>
      </c>
      <c r="H158" s="41"/>
      <c r="I158" s="41"/>
      <c r="J158" s="92" t="s">
        <v>417</v>
      </c>
      <c r="K158" s="49">
        <f t="shared" si="21"/>
        <v>91.666666666666657</v>
      </c>
      <c r="L158" s="41"/>
      <c r="M158" s="41"/>
      <c r="N158" s="41"/>
      <c r="O158" s="41"/>
      <c r="P158" s="41"/>
      <c r="Q158" s="41"/>
      <c r="R158" s="41"/>
      <c r="S158" s="41"/>
      <c r="T158" s="41"/>
      <c r="U158" s="41"/>
      <c r="V158" s="41"/>
      <c r="W158" s="41"/>
      <c r="X158" s="41"/>
      <c r="Y158" s="41"/>
      <c r="Z158" s="41"/>
    </row>
    <row r="159" spans="1:26" ht="12.75" customHeight="1" x14ac:dyDescent="0.35">
      <c r="A159" s="88" t="s">
        <v>308</v>
      </c>
      <c r="B159" s="100">
        <v>1800000</v>
      </c>
      <c r="C159" s="41"/>
      <c r="D159" s="41">
        <f t="shared" si="3"/>
        <v>75</v>
      </c>
      <c r="E159" s="49">
        <f t="shared" si="4"/>
        <v>82.5</v>
      </c>
      <c r="F159" s="92" t="s">
        <v>418</v>
      </c>
      <c r="G159" s="49">
        <f t="shared" si="22"/>
        <v>93.958333333333343</v>
      </c>
      <c r="H159" s="41"/>
      <c r="I159" s="41"/>
      <c r="J159" s="92" t="s">
        <v>419</v>
      </c>
      <c r="K159" s="49">
        <f t="shared" si="21"/>
        <v>98.541666666666657</v>
      </c>
      <c r="L159" s="41"/>
      <c r="M159" s="41"/>
      <c r="N159" s="41"/>
      <c r="O159" s="41"/>
      <c r="P159" s="41"/>
      <c r="Q159" s="41"/>
      <c r="R159" s="41"/>
      <c r="S159" s="41"/>
      <c r="T159" s="41"/>
      <c r="U159" s="41"/>
      <c r="V159" s="41"/>
      <c r="W159" s="41"/>
      <c r="X159" s="41"/>
      <c r="Y159" s="41"/>
      <c r="Z159" s="41"/>
    </row>
    <row r="160" spans="1:26" ht="12.75" customHeight="1" x14ac:dyDescent="0.35">
      <c r="A160" s="41"/>
      <c r="B160" s="41"/>
      <c r="C160" s="41"/>
      <c r="D160" s="41">
        <f t="shared" si="3"/>
        <v>0</v>
      </c>
      <c r="E160" s="49">
        <f t="shared" si="4"/>
        <v>0</v>
      </c>
      <c r="F160" s="63" t="s">
        <v>420</v>
      </c>
      <c r="G160" s="49">
        <f t="shared" si="22"/>
        <v>103.125</v>
      </c>
      <c r="H160" s="41"/>
      <c r="I160" s="41"/>
      <c r="J160" s="92" t="s">
        <v>421</v>
      </c>
      <c r="K160" s="49">
        <f t="shared" si="21"/>
        <v>89.375</v>
      </c>
      <c r="L160" s="41"/>
      <c r="M160" s="41"/>
      <c r="N160" s="41"/>
      <c r="O160" s="41"/>
      <c r="P160" s="41"/>
      <c r="Q160" s="41"/>
      <c r="R160" s="41"/>
      <c r="S160" s="41"/>
      <c r="T160" s="41"/>
      <c r="U160" s="41"/>
      <c r="V160" s="41"/>
      <c r="W160" s="41"/>
      <c r="X160" s="41"/>
      <c r="Y160" s="41"/>
      <c r="Z160" s="41"/>
    </row>
    <row r="161" spans="1:26" ht="12.75" customHeight="1" x14ac:dyDescent="0.4">
      <c r="A161" s="90" t="s">
        <v>313</v>
      </c>
      <c r="B161" s="65" t="s">
        <v>179</v>
      </c>
      <c r="C161" s="41"/>
      <c r="D161" s="41" t="e">
        <f t="shared" si="3"/>
        <v>#VALUE!</v>
      </c>
      <c r="E161" s="49" t="e">
        <f t="shared" si="4"/>
        <v>#VALUE!</v>
      </c>
      <c r="F161" s="92" t="s">
        <v>422</v>
      </c>
      <c r="G161" s="49">
        <f t="shared" si="22"/>
        <v>75.625</v>
      </c>
      <c r="H161" s="41"/>
      <c r="I161" s="41"/>
      <c r="J161" s="92" t="s">
        <v>423</v>
      </c>
      <c r="K161" s="49">
        <f t="shared" si="21"/>
        <v>107.70833333333334</v>
      </c>
      <c r="L161" s="41"/>
      <c r="M161" s="41"/>
      <c r="N161" s="41"/>
      <c r="O161" s="41"/>
      <c r="P161" s="41"/>
      <c r="Q161" s="41"/>
      <c r="R161" s="41"/>
      <c r="S161" s="41"/>
      <c r="T161" s="41"/>
      <c r="U161" s="41"/>
      <c r="V161" s="41"/>
      <c r="W161" s="41"/>
      <c r="X161" s="41"/>
      <c r="Y161" s="41"/>
      <c r="Z161" s="41"/>
    </row>
    <row r="162" spans="1:26" ht="12.75" customHeight="1" x14ac:dyDescent="0.35">
      <c r="A162" s="74" t="s">
        <v>330</v>
      </c>
      <c r="B162" s="58"/>
      <c r="C162" s="41"/>
      <c r="D162" s="41">
        <f t="shared" si="3"/>
        <v>0</v>
      </c>
      <c r="E162" s="49">
        <f t="shared" si="4"/>
        <v>0</v>
      </c>
      <c r="F162" s="92" t="s">
        <v>424</v>
      </c>
      <c r="G162" s="49">
        <f t="shared" si="22"/>
        <v>84.791666666666657</v>
      </c>
      <c r="H162" s="41"/>
      <c r="I162" s="41"/>
      <c r="J162" s="41"/>
      <c r="K162" s="41"/>
      <c r="L162" s="41"/>
      <c r="M162" s="41"/>
      <c r="N162" s="41"/>
      <c r="O162" s="41"/>
      <c r="P162" s="41"/>
      <c r="Q162" s="41"/>
      <c r="R162" s="41"/>
      <c r="S162" s="41"/>
      <c r="T162" s="41"/>
      <c r="U162" s="41"/>
      <c r="V162" s="41"/>
      <c r="W162" s="41"/>
      <c r="X162" s="41"/>
      <c r="Y162" s="41"/>
      <c r="Z162" s="41"/>
    </row>
    <row r="163" spans="1:26" ht="12.75" customHeight="1" x14ac:dyDescent="0.35">
      <c r="A163" s="68" t="s">
        <v>333</v>
      </c>
      <c r="B163" s="76">
        <v>1980000</v>
      </c>
      <c r="C163" s="41"/>
      <c r="D163" s="41">
        <f t="shared" si="3"/>
        <v>82.5</v>
      </c>
      <c r="E163" s="49">
        <f t="shared" si="4"/>
        <v>90.75</v>
      </c>
      <c r="F163" s="92" t="s">
        <v>425</v>
      </c>
      <c r="G163" s="49">
        <f t="shared" si="22"/>
        <v>50.416666666666671</v>
      </c>
      <c r="H163" s="41"/>
      <c r="I163" s="41"/>
      <c r="J163" s="41"/>
      <c r="K163" s="41"/>
      <c r="L163" s="41"/>
      <c r="M163" s="41"/>
      <c r="N163" s="41"/>
      <c r="O163" s="41"/>
      <c r="P163" s="41"/>
      <c r="Q163" s="41"/>
      <c r="R163" s="41"/>
      <c r="S163" s="41"/>
      <c r="T163" s="41"/>
      <c r="U163" s="41"/>
      <c r="V163" s="41"/>
      <c r="W163" s="41"/>
      <c r="X163" s="41"/>
      <c r="Y163" s="41"/>
      <c r="Z163" s="41"/>
    </row>
    <row r="164" spans="1:26" ht="12.75" customHeight="1" x14ac:dyDescent="0.35">
      <c r="A164" s="63" t="s">
        <v>336</v>
      </c>
      <c r="B164" s="76">
        <v>2420000</v>
      </c>
      <c r="C164" s="41"/>
      <c r="D164" s="41">
        <f t="shared" si="3"/>
        <v>100.83333333333333</v>
      </c>
      <c r="E164" s="49">
        <f t="shared" si="4"/>
        <v>110.91666666666666</v>
      </c>
      <c r="F164" s="92" t="s">
        <v>426</v>
      </c>
      <c r="G164" s="49">
        <f t="shared" si="22"/>
        <v>64.166666666666671</v>
      </c>
      <c r="H164" s="41"/>
      <c r="I164" s="41"/>
      <c r="J164" s="41"/>
      <c r="K164" s="41"/>
      <c r="L164" s="41"/>
      <c r="M164" s="41"/>
      <c r="N164" s="41"/>
      <c r="O164" s="41"/>
      <c r="P164" s="41"/>
      <c r="Q164" s="41"/>
      <c r="R164" s="41"/>
      <c r="S164" s="41"/>
      <c r="T164" s="41"/>
      <c r="U164" s="41"/>
      <c r="V164" s="41"/>
      <c r="W164" s="41"/>
      <c r="X164" s="41"/>
      <c r="Y164" s="41"/>
      <c r="Z164" s="41"/>
    </row>
    <row r="165" spans="1:26" ht="12.75" customHeight="1" x14ac:dyDescent="0.35">
      <c r="A165" s="63" t="s">
        <v>339</v>
      </c>
      <c r="B165" s="74">
        <v>900000</v>
      </c>
      <c r="C165" s="41"/>
      <c r="D165" s="41">
        <f t="shared" si="3"/>
        <v>37.5</v>
      </c>
      <c r="E165" s="49">
        <f t="shared" si="4"/>
        <v>41.25</v>
      </c>
      <c r="F165" s="92" t="s">
        <v>427</v>
      </c>
      <c r="G165" s="49">
        <f t="shared" si="22"/>
        <v>32.083333333333336</v>
      </c>
      <c r="H165" s="41"/>
      <c r="I165" s="41"/>
      <c r="J165" s="41"/>
      <c r="K165" s="41"/>
      <c r="L165" s="41"/>
      <c r="M165" s="41"/>
      <c r="N165" s="41"/>
      <c r="O165" s="41"/>
      <c r="P165" s="41"/>
      <c r="Q165" s="41"/>
      <c r="R165" s="41"/>
      <c r="S165" s="41"/>
      <c r="T165" s="41"/>
      <c r="U165" s="41"/>
      <c r="V165" s="41"/>
      <c r="W165" s="41"/>
      <c r="X165" s="41"/>
      <c r="Y165" s="41"/>
      <c r="Z165" s="41"/>
    </row>
    <row r="166" spans="1:26" ht="12.75" customHeight="1" x14ac:dyDescent="0.35">
      <c r="A166" s="63" t="s">
        <v>341</v>
      </c>
      <c r="B166" s="74">
        <v>850000</v>
      </c>
      <c r="C166" s="41"/>
      <c r="D166" s="41">
        <f t="shared" si="3"/>
        <v>35.416666666666664</v>
      </c>
      <c r="E166" s="49">
        <f t="shared" si="4"/>
        <v>38.958333333333329</v>
      </c>
      <c r="F166" s="92" t="s">
        <v>428</v>
      </c>
      <c r="G166" s="49">
        <f t="shared" si="22"/>
        <v>36.666666666666671</v>
      </c>
      <c r="H166" s="41"/>
      <c r="I166" s="41"/>
      <c r="J166" s="41"/>
      <c r="K166" s="41"/>
      <c r="L166" s="41"/>
      <c r="M166" s="41"/>
      <c r="N166" s="41"/>
      <c r="O166" s="41"/>
      <c r="P166" s="41"/>
      <c r="Q166" s="41"/>
      <c r="R166" s="41"/>
      <c r="S166" s="41"/>
      <c r="T166" s="41"/>
      <c r="U166" s="41"/>
      <c r="V166" s="41"/>
      <c r="W166" s="41"/>
      <c r="X166" s="41"/>
      <c r="Y166" s="41"/>
      <c r="Z166" s="41"/>
    </row>
    <row r="167" spans="1:26" ht="12.75" customHeight="1" x14ac:dyDescent="0.35">
      <c r="A167" s="63" t="s">
        <v>344</v>
      </c>
      <c r="B167" s="74">
        <v>1650000</v>
      </c>
      <c r="C167" s="41"/>
      <c r="D167" s="41">
        <f t="shared" si="3"/>
        <v>68.75</v>
      </c>
      <c r="E167" s="49">
        <f t="shared" si="4"/>
        <v>75.625</v>
      </c>
      <c r="F167" s="63"/>
      <c r="G167" s="49"/>
      <c r="H167" s="41"/>
      <c r="I167" s="41"/>
      <c r="J167" s="41"/>
      <c r="K167" s="41"/>
      <c r="L167" s="41"/>
      <c r="M167" s="41"/>
      <c r="N167" s="41"/>
      <c r="O167" s="41"/>
      <c r="P167" s="41"/>
      <c r="Q167" s="41"/>
      <c r="R167" s="41"/>
      <c r="S167" s="41"/>
      <c r="T167" s="41"/>
      <c r="U167" s="41"/>
      <c r="V167" s="41"/>
      <c r="W167" s="41"/>
      <c r="X167" s="41"/>
      <c r="Y167" s="41"/>
      <c r="Z167" s="41"/>
    </row>
    <row r="168" spans="1:26" ht="12.75" customHeight="1" x14ac:dyDescent="0.35">
      <c r="A168" s="63" t="s">
        <v>346</v>
      </c>
      <c r="B168" s="74">
        <v>1850000</v>
      </c>
      <c r="C168" s="41"/>
      <c r="D168" s="41">
        <f t="shared" si="3"/>
        <v>77.083333333333329</v>
      </c>
      <c r="E168" s="49">
        <f t="shared" si="4"/>
        <v>84.791666666666657</v>
      </c>
      <c r="F168" s="63"/>
      <c r="G168" s="49"/>
      <c r="H168" s="41"/>
      <c r="I168" s="41"/>
      <c r="J168" s="41"/>
      <c r="K168" s="41"/>
      <c r="L168" s="41"/>
      <c r="M168" s="41"/>
      <c r="N168" s="41"/>
      <c r="O168" s="41"/>
      <c r="P168" s="41"/>
      <c r="Q168" s="41"/>
      <c r="R168" s="41"/>
      <c r="S168" s="41"/>
      <c r="T168" s="41"/>
      <c r="U168" s="41"/>
      <c r="V168" s="41"/>
      <c r="W168" s="41"/>
      <c r="X168" s="41"/>
      <c r="Y168" s="41"/>
      <c r="Z168" s="41"/>
    </row>
    <row r="169" spans="1:26" ht="12.75" customHeight="1" x14ac:dyDescent="0.35">
      <c r="A169" s="63">
        <v>0</v>
      </c>
      <c r="B169" s="74">
        <v>0</v>
      </c>
      <c r="C169" s="41"/>
      <c r="D169" s="41">
        <f t="shared" si="3"/>
        <v>0</v>
      </c>
      <c r="E169" s="49">
        <f t="shared" si="4"/>
        <v>0</v>
      </c>
      <c r="F169" s="91"/>
      <c r="G169" s="49"/>
      <c r="H169" s="41"/>
      <c r="I169" s="41"/>
      <c r="J169" s="41"/>
      <c r="K169" s="41"/>
      <c r="L169" s="41"/>
      <c r="M169" s="41"/>
      <c r="N169" s="41"/>
      <c r="O169" s="41"/>
      <c r="P169" s="41"/>
      <c r="Q169" s="41"/>
      <c r="R169" s="41"/>
      <c r="S169" s="41"/>
      <c r="T169" s="41"/>
      <c r="U169" s="41"/>
      <c r="V169" s="41"/>
      <c r="W169" s="41"/>
      <c r="X169" s="41"/>
      <c r="Y169" s="41"/>
      <c r="Z169" s="41"/>
    </row>
    <row r="170" spans="1:26" ht="12.75" customHeight="1" x14ac:dyDescent="0.35">
      <c r="A170" s="63" t="s">
        <v>351</v>
      </c>
      <c r="B170" s="74">
        <v>2575000</v>
      </c>
      <c r="C170" s="41"/>
      <c r="D170" s="41">
        <f t="shared" si="3"/>
        <v>107.29166666666667</v>
      </c>
      <c r="E170" s="49">
        <f t="shared" si="4"/>
        <v>118.02083333333334</v>
      </c>
      <c r="F170" s="91"/>
      <c r="G170" s="49"/>
      <c r="H170" s="41"/>
      <c r="I170" s="41"/>
      <c r="J170" s="41"/>
      <c r="K170" s="41"/>
      <c r="L170" s="41"/>
      <c r="M170" s="41"/>
      <c r="N170" s="41"/>
      <c r="O170" s="41"/>
      <c r="P170" s="41"/>
      <c r="Q170" s="41"/>
      <c r="R170" s="41"/>
      <c r="S170" s="41"/>
      <c r="T170" s="41"/>
      <c r="U170" s="41"/>
      <c r="V170" s="41"/>
      <c r="W170" s="41"/>
      <c r="X170" s="41"/>
      <c r="Y170" s="41"/>
      <c r="Z170" s="41"/>
    </row>
    <row r="171" spans="1:26" ht="12.75" customHeight="1" x14ac:dyDescent="0.35">
      <c r="A171" s="63" t="s">
        <v>353</v>
      </c>
      <c r="B171" s="71">
        <v>2324500</v>
      </c>
      <c r="C171" s="41"/>
      <c r="D171" s="41">
        <f t="shared" si="3"/>
        <v>96.854166666666671</v>
      </c>
      <c r="E171" s="49">
        <f t="shared" si="4"/>
        <v>106.53958333333334</v>
      </c>
      <c r="F171" s="91"/>
      <c r="G171" s="49"/>
      <c r="H171" s="41"/>
      <c r="I171" s="41"/>
      <c r="J171" s="41"/>
      <c r="K171" s="41"/>
      <c r="L171" s="41"/>
      <c r="M171" s="41"/>
      <c r="N171" s="41"/>
      <c r="O171" s="41"/>
      <c r="P171" s="41"/>
      <c r="Q171" s="41"/>
      <c r="R171" s="41"/>
      <c r="S171" s="41"/>
      <c r="T171" s="41"/>
      <c r="U171" s="41"/>
      <c r="V171" s="41"/>
      <c r="W171" s="41"/>
      <c r="X171" s="41"/>
      <c r="Y171" s="41"/>
      <c r="Z171" s="41"/>
    </row>
    <row r="172" spans="1:26" ht="12.75" customHeight="1" x14ac:dyDescent="0.35">
      <c r="A172" s="63" t="s">
        <v>356</v>
      </c>
      <c r="B172" s="71">
        <v>2437900</v>
      </c>
      <c r="C172" s="41"/>
      <c r="D172" s="41">
        <f t="shared" si="3"/>
        <v>101.57916666666667</v>
      </c>
      <c r="E172" s="49">
        <f t="shared" si="4"/>
        <v>111.73708333333333</v>
      </c>
      <c r="F172" s="74"/>
      <c r="G172" s="49"/>
      <c r="H172" s="41"/>
      <c r="I172" s="41"/>
      <c r="J172" s="41"/>
      <c r="K172" s="41"/>
      <c r="L172" s="41"/>
      <c r="M172" s="41"/>
      <c r="N172" s="41"/>
      <c r="O172" s="41"/>
      <c r="P172" s="41"/>
      <c r="Q172" s="41"/>
      <c r="R172" s="41"/>
      <c r="S172" s="41"/>
      <c r="T172" s="41"/>
      <c r="U172" s="41"/>
      <c r="V172" s="41"/>
      <c r="W172" s="41"/>
      <c r="X172" s="41"/>
      <c r="Y172" s="41"/>
      <c r="Z172" s="41"/>
    </row>
    <row r="173" spans="1:26" ht="12.75" customHeight="1" x14ac:dyDescent="0.4">
      <c r="A173" s="91" t="s">
        <v>357</v>
      </c>
      <c r="B173" s="105">
        <v>1500000</v>
      </c>
      <c r="C173" s="41"/>
      <c r="D173" s="41">
        <f t="shared" si="3"/>
        <v>62.5</v>
      </c>
      <c r="E173" s="49">
        <f t="shared" si="4"/>
        <v>68.75</v>
      </c>
      <c r="F173" s="63"/>
      <c r="G173" s="49"/>
      <c r="H173" s="41"/>
      <c r="I173" s="41"/>
      <c r="J173" s="41"/>
      <c r="K173" s="41"/>
      <c r="L173" s="41"/>
      <c r="M173" s="41"/>
      <c r="N173" s="41"/>
      <c r="O173" s="41"/>
      <c r="P173" s="41"/>
      <c r="Q173" s="41"/>
      <c r="R173" s="41"/>
      <c r="S173" s="41"/>
      <c r="T173" s="41"/>
      <c r="U173" s="41"/>
      <c r="V173" s="41"/>
      <c r="W173" s="41"/>
      <c r="X173" s="41"/>
      <c r="Y173" s="41"/>
      <c r="Z173" s="41"/>
    </row>
    <row r="174" spans="1:26" ht="12.75" customHeight="1" x14ac:dyDescent="0.4">
      <c r="A174" s="91" t="s">
        <v>359</v>
      </c>
      <c r="B174" s="105">
        <v>1600000</v>
      </c>
      <c r="C174" s="41"/>
      <c r="D174" s="41">
        <f t="shared" si="3"/>
        <v>66.666666666666671</v>
      </c>
      <c r="E174" s="49">
        <f t="shared" si="4"/>
        <v>73.333333333333343</v>
      </c>
      <c r="F174" s="63"/>
      <c r="G174" s="49"/>
      <c r="H174" s="41"/>
      <c r="I174" s="41"/>
      <c r="J174" s="41"/>
      <c r="K174" s="41"/>
      <c r="L174" s="41"/>
      <c r="M174" s="41"/>
      <c r="N174" s="41"/>
      <c r="O174" s="41"/>
      <c r="P174" s="41"/>
      <c r="Q174" s="41"/>
      <c r="R174" s="41"/>
      <c r="S174" s="41"/>
      <c r="T174" s="41"/>
      <c r="U174" s="41"/>
      <c r="V174" s="41"/>
      <c r="W174" s="41"/>
      <c r="X174" s="41"/>
      <c r="Y174" s="41"/>
      <c r="Z174" s="41"/>
    </row>
    <row r="175" spans="1:26" ht="12.75" customHeight="1" x14ac:dyDescent="0.4">
      <c r="A175" s="91"/>
      <c r="B175" s="105"/>
      <c r="C175" s="41"/>
      <c r="D175" s="41">
        <f t="shared" si="3"/>
        <v>0</v>
      </c>
      <c r="E175" s="49">
        <f t="shared" si="4"/>
        <v>0</v>
      </c>
      <c r="F175" s="63"/>
      <c r="G175" s="49"/>
      <c r="H175" s="41"/>
      <c r="I175" s="41"/>
      <c r="J175" s="41"/>
      <c r="K175" s="41"/>
      <c r="L175" s="41"/>
      <c r="M175" s="41"/>
      <c r="N175" s="41"/>
      <c r="O175" s="41"/>
      <c r="P175" s="41"/>
      <c r="Q175" s="41"/>
      <c r="R175" s="41"/>
      <c r="S175" s="41"/>
      <c r="T175" s="41"/>
      <c r="U175" s="41"/>
      <c r="V175" s="41"/>
      <c r="W175" s="41"/>
      <c r="X175" s="41"/>
      <c r="Y175" s="41"/>
      <c r="Z175" s="41"/>
    </row>
    <row r="176" spans="1:26" ht="12.75" customHeight="1" x14ac:dyDescent="0.35">
      <c r="A176" s="74" t="s">
        <v>176</v>
      </c>
      <c r="B176" s="58"/>
      <c r="C176" s="41"/>
      <c r="D176" s="41">
        <f t="shared" si="3"/>
        <v>0</v>
      </c>
      <c r="E176" s="49">
        <f t="shared" si="4"/>
        <v>0</v>
      </c>
      <c r="F176" s="63"/>
      <c r="G176" s="49"/>
      <c r="H176" s="41"/>
      <c r="I176" s="41"/>
      <c r="J176" s="41"/>
      <c r="K176" s="41"/>
      <c r="L176" s="41"/>
      <c r="M176" s="41"/>
      <c r="N176" s="41"/>
      <c r="O176" s="41"/>
      <c r="P176" s="41"/>
      <c r="Q176" s="41"/>
      <c r="R176" s="41"/>
      <c r="S176" s="41"/>
      <c r="T176" s="41"/>
      <c r="U176" s="41"/>
      <c r="V176" s="41"/>
      <c r="W176" s="41"/>
      <c r="X176" s="41"/>
      <c r="Y176" s="41"/>
      <c r="Z176" s="41"/>
    </row>
    <row r="177" spans="1:26" ht="12.75" customHeight="1" x14ac:dyDescent="0.35">
      <c r="A177" s="63" t="s">
        <v>331</v>
      </c>
      <c r="B177" s="63">
        <v>3000000</v>
      </c>
      <c r="C177" s="41"/>
      <c r="D177" s="41">
        <f t="shared" si="3"/>
        <v>125</v>
      </c>
      <c r="E177" s="49">
        <f t="shared" si="4"/>
        <v>137.5</v>
      </c>
      <c r="F177" s="92"/>
      <c r="G177" s="49"/>
      <c r="H177" s="41"/>
      <c r="I177" s="41"/>
      <c r="J177" s="41"/>
      <c r="K177" s="41"/>
      <c r="L177" s="41"/>
      <c r="M177" s="41"/>
      <c r="N177" s="41"/>
      <c r="O177" s="41"/>
      <c r="P177" s="41"/>
      <c r="Q177" s="41"/>
      <c r="R177" s="41"/>
      <c r="S177" s="41"/>
      <c r="T177" s="41"/>
      <c r="U177" s="41"/>
      <c r="V177" s="41"/>
      <c r="W177" s="41"/>
      <c r="X177" s="41"/>
      <c r="Y177" s="41"/>
      <c r="Z177" s="41"/>
    </row>
    <row r="178" spans="1:26" ht="12.75" customHeight="1" x14ac:dyDescent="0.35">
      <c r="A178" s="63" t="s">
        <v>334</v>
      </c>
      <c r="B178" s="63">
        <v>3250000</v>
      </c>
      <c r="C178" s="41"/>
      <c r="D178" s="41">
        <f t="shared" si="3"/>
        <v>135.41666666666666</v>
      </c>
      <c r="E178" s="49">
        <f t="shared" si="4"/>
        <v>148.95833333333331</v>
      </c>
      <c r="F178" s="63"/>
      <c r="G178" s="49"/>
      <c r="H178" s="41"/>
      <c r="I178" s="41"/>
      <c r="J178" s="41"/>
      <c r="K178" s="41"/>
      <c r="L178" s="41"/>
      <c r="M178" s="41"/>
      <c r="N178" s="41"/>
      <c r="O178" s="41"/>
      <c r="P178" s="41"/>
      <c r="Q178" s="41"/>
      <c r="R178" s="41"/>
      <c r="S178" s="41"/>
      <c r="T178" s="41"/>
      <c r="U178" s="41"/>
      <c r="V178" s="41"/>
      <c r="W178" s="41"/>
      <c r="X178" s="41"/>
      <c r="Y178" s="41"/>
      <c r="Z178" s="41"/>
    </row>
    <row r="179" spans="1:26" ht="12.75" customHeight="1" x14ac:dyDescent="0.35">
      <c r="A179" s="63" t="s">
        <v>337</v>
      </c>
      <c r="B179" s="76">
        <v>1705000</v>
      </c>
      <c r="C179" s="41"/>
      <c r="D179" s="41">
        <f t="shared" si="3"/>
        <v>71.041666666666671</v>
      </c>
      <c r="E179" s="49">
        <f t="shared" si="4"/>
        <v>78.145833333333343</v>
      </c>
      <c r="F179" s="63"/>
      <c r="G179" s="49"/>
      <c r="H179" s="41"/>
      <c r="I179" s="41"/>
      <c r="J179" s="41"/>
      <c r="K179" s="41"/>
      <c r="L179" s="41"/>
      <c r="M179" s="41"/>
      <c r="N179" s="41"/>
      <c r="O179" s="41"/>
      <c r="P179" s="41"/>
      <c r="Q179" s="41"/>
      <c r="R179" s="41"/>
      <c r="S179" s="41"/>
      <c r="T179" s="41"/>
      <c r="U179" s="41"/>
      <c r="V179" s="41"/>
      <c r="W179" s="41"/>
      <c r="X179" s="41"/>
      <c r="Y179" s="41"/>
      <c r="Z179" s="41"/>
    </row>
    <row r="180" spans="1:26" ht="12.75" customHeight="1" x14ac:dyDescent="0.35">
      <c r="A180" s="63" t="s">
        <v>340</v>
      </c>
      <c r="B180" s="106">
        <v>1925000</v>
      </c>
      <c r="C180" s="41"/>
      <c r="D180" s="41">
        <f t="shared" si="3"/>
        <v>80.208333333333329</v>
      </c>
      <c r="E180" s="49">
        <f t="shared" si="4"/>
        <v>88.229166666666657</v>
      </c>
      <c r="F180" s="92"/>
      <c r="G180" s="49"/>
      <c r="H180" s="41"/>
      <c r="I180" s="41"/>
      <c r="J180" s="41"/>
      <c r="K180" s="41"/>
      <c r="L180" s="41"/>
      <c r="M180" s="41"/>
      <c r="N180" s="41"/>
      <c r="O180" s="41"/>
      <c r="P180" s="41"/>
      <c r="Q180" s="41"/>
      <c r="R180" s="41"/>
      <c r="S180" s="41"/>
      <c r="T180" s="41"/>
      <c r="U180" s="41"/>
      <c r="V180" s="41"/>
      <c r="W180" s="41"/>
      <c r="X180" s="41"/>
      <c r="Y180" s="41"/>
      <c r="Z180" s="41"/>
    </row>
    <row r="181" spans="1:26" ht="12.75" customHeight="1" x14ac:dyDescent="0.35">
      <c r="A181" s="92" t="s">
        <v>342</v>
      </c>
      <c r="B181" s="98">
        <v>1500000</v>
      </c>
      <c r="C181" s="41"/>
      <c r="D181" s="41">
        <f t="shared" si="3"/>
        <v>62.5</v>
      </c>
      <c r="E181" s="49">
        <f t="shared" si="4"/>
        <v>68.75</v>
      </c>
      <c r="F181" s="63"/>
      <c r="G181" s="49"/>
      <c r="H181" s="41"/>
      <c r="I181" s="41"/>
      <c r="J181" s="41"/>
      <c r="K181" s="41"/>
      <c r="L181" s="41"/>
      <c r="M181" s="41"/>
      <c r="N181" s="41"/>
      <c r="O181" s="41"/>
      <c r="P181" s="41"/>
      <c r="Q181" s="41"/>
      <c r="R181" s="41"/>
      <c r="S181" s="41"/>
      <c r="T181" s="41"/>
      <c r="U181" s="41"/>
      <c r="V181" s="41"/>
      <c r="W181" s="41"/>
      <c r="X181" s="41"/>
      <c r="Y181" s="41"/>
      <c r="Z181" s="41"/>
    </row>
    <row r="182" spans="1:26" ht="12.75" customHeight="1" x14ac:dyDescent="0.35">
      <c r="A182" s="63" t="s">
        <v>345</v>
      </c>
      <c r="B182" s="107">
        <v>1600000</v>
      </c>
      <c r="C182" s="41"/>
      <c r="D182" s="41">
        <f t="shared" si="3"/>
        <v>66.666666666666671</v>
      </c>
      <c r="E182" s="49">
        <f t="shared" si="4"/>
        <v>73.333333333333343</v>
      </c>
      <c r="F182" s="91"/>
      <c r="G182" s="49"/>
      <c r="H182" s="41"/>
      <c r="I182" s="41"/>
      <c r="J182" s="41"/>
      <c r="K182" s="41"/>
      <c r="L182" s="41"/>
      <c r="M182" s="41"/>
      <c r="N182" s="41"/>
      <c r="O182" s="41"/>
      <c r="P182" s="41"/>
      <c r="Q182" s="41"/>
      <c r="R182" s="41"/>
      <c r="S182" s="41"/>
      <c r="T182" s="41"/>
      <c r="U182" s="41"/>
      <c r="V182" s="41"/>
      <c r="W182" s="41"/>
      <c r="X182" s="41"/>
      <c r="Y182" s="41"/>
      <c r="Z182" s="41"/>
    </row>
    <row r="183" spans="1:26" ht="12.75" customHeight="1" x14ac:dyDescent="0.35">
      <c r="A183" s="63" t="s">
        <v>347</v>
      </c>
      <c r="B183" s="107">
        <v>2430000</v>
      </c>
      <c r="C183" s="41"/>
      <c r="D183" s="41">
        <f t="shared" si="3"/>
        <v>101.25</v>
      </c>
      <c r="E183" s="49">
        <f t="shared" si="4"/>
        <v>111.375</v>
      </c>
      <c r="F183" s="58"/>
      <c r="G183" s="49"/>
      <c r="H183" s="41"/>
      <c r="I183" s="41"/>
      <c r="J183" s="41"/>
      <c r="K183" s="41"/>
      <c r="L183" s="41"/>
      <c r="M183" s="41"/>
      <c r="N183" s="41"/>
      <c r="O183" s="41"/>
      <c r="P183" s="41"/>
      <c r="Q183" s="41"/>
      <c r="R183" s="41"/>
      <c r="S183" s="41"/>
      <c r="T183" s="41"/>
      <c r="U183" s="41"/>
      <c r="V183" s="41"/>
      <c r="W183" s="41"/>
      <c r="X183" s="41"/>
      <c r="Y183" s="41"/>
      <c r="Z183" s="41"/>
    </row>
    <row r="184" spans="1:26" ht="12.75" customHeight="1" x14ac:dyDescent="0.35">
      <c r="A184" s="92" t="s">
        <v>349</v>
      </c>
      <c r="B184" s="107">
        <v>2660000</v>
      </c>
      <c r="C184" s="41"/>
      <c r="D184" s="41">
        <f t="shared" si="3"/>
        <v>110.83333333333333</v>
      </c>
      <c r="E184" s="49">
        <f t="shared" si="4"/>
        <v>121.91666666666666</v>
      </c>
      <c r="F184" s="58"/>
      <c r="G184" s="49"/>
      <c r="H184" s="41"/>
      <c r="I184" s="41"/>
      <c r="J184" s="41"/>
      <c r="K184" s="41"/>
      <c r="L184" s="41"/>
      <c r="M184" s="41"/>
      <c r="N184" s="41"/>
      <c r="O184" s="41"/>
      <c r="P184" s="41"/>
      <c r="Q184" s="41"/>
      <c r="R184" s="41"/>
      <c r="S184" s="41"/>
      <c r="T184" s="41"/>
      <c r="U184" s="41"/>
      <c r="V184" s="41"/>
      <c r="W184" s="41"/>
      <c r="X184" s="41"/>
      <c r="Y184" s="41"/>
      <c r="Z184" s="41"/>
    </row>
    <row r="185" spans="1:26" ht="12.75" customHeight="1" x14ac:dyDescent="0.35">
      <c r="A185" s="63" t="s">
        <v>352</v>
      </c>
      <c r="B185" s="76">
        <v>2260000</v>
      </c>
      <c r="C185" s="41"/>
      <c r="D185" s="41">
        <f t="shared" si="3"/>
        <v>94.166666666666671</v>
      </c>
      <c r="E185" s="49">
        <f t="shared" si="4"/>
        <v>103.58333333333334</v>
      </c>
      <c r="F185" s="74"/>
      <c r="G185" s="49"/>
      <c r="H185" s="41"/>
      <c r="I185" s="41"/>
      <c r="J185" s="41"/>
      <c r="K185" s="41"/>
      <c r="L185" s="41"/>
      <c r="M185" s="41"/>
      <c r="N185" s="41"/>
      <c r="O185" s="41"/>
      <c r="P185" s="41"/>
      <c r="Q185" s="41"/>
      <c r="R185" s="41"/>
      <c r="S185" s="41"/>
      <c r="T185" s="41"/>
      <c r="U185" s="41"/>
      <c r="V185" s="41"/>
      <c r="W185" s="41"/>
      <c r="X185" s="41"/>
      <c r="Y185" s="41"/>
      <c r="Z185" s="41"/>
    </row>
    <row r="186" spans="1:26" ht="12.75" customHeight="1" x14ac:dyDescent="0.35">
      <c r="A186" s="91" t="s">
        <v>354</v>
      </c>
      <c r="B186" s="76">
        <v>2760000</v>
      </c>
      <c r="C186" s="41"/>
      <c r="D186" s="41">
        <f t="shared" si="3"/>
        <v>115</v>
      </c>
      <c r="E186" s="49">
        <f t="shared" si="4"/>
        <v>126.5</v>
      </c>
      <c r="F186" s="58"/>
      <c r="G186" s="49"/>
      <c r="H186" s="41"/>
      <c r="I186" s="41"/>
      <c r="J186" s="41"/>
      <c r="K186" s="41"/>
      <c r="L186" s="41"/>
      <c r="M186" s="41"/>
      <c r="N186" s="41"/>
      <c r="O186" s="41"/>
      <c r="P186" s="41"/>
      <c r="Q186" s="41"/>
      <c r="R186" s="41"/>
      <c r="S186" s="41"/>
      <c r="T186" s="41"/>
      <c r="U186" s="41"/>
      <c r="V186" s="41"/>
      <c r="W186" s="41"/>
      <c r="X186" s="41"/>
      <c r="Y186" s="41"/>
      <c r="Z186" s="41"/>
    </row>
    <row r="187" spans="1:26" ht="12.75" customHeight="1" x14ac:dyDescent="0.35">
      <c r="A187" s="58"/>
      <c r="B187" s="58"/>
      <c r="C187" s="41"/>
      <c r="D187" s="41">
        <f t="shared" si="3"/>
        <v>0</v>
      </c>
      <c r="E187" s="49">
        <f t="shared" si="4"/>
        <v>0</v>
      </c>
      <c r="F187" s="92"/>
      <c r="G187" s="49"/>
      <c r="H187" s="41"/>
      <c r="I187" s="41"/>
      <c r="J187" s="41"/>
      <c r="K187" s="41"/>
      <c r="L187" s="41"/>
      <c r="M187" s="41"/>
      <c r="N187" s="41"/>
      <c r="O187" s="41"/>
      <c r="P187" s="41"/>
      <c r="Q187" s="41"/>
      <c r="R187" s="41"/>
      <c r="S187" s="41"/>
      <c r="T187" s="41"/>
      <c r="U187" s="41"/>
      <c r="V187" s="41"/>
      <c r="W187" s="41"/>
      <c r="X187" s="41"/>
      <c r="Y187" s="41"/>
      <c r="Z187" s="41"/>
    </row>
    <row r="188" spans="1:26" ht="12.75" customHeight="1" x14ac:dyDescent="0.35">
      <c r="A188" s="58"/>
      <c r="B188" s="58"/>
      <c r="C188" s="41"/>
      <c r="D188" s="41">
        <f t="shared" si="3"/>
        <v>0</v>
      </c>
      <c r="E188" s="49">
        <f t="shared" si="4"/>
        <v>0</v>
      </c>
      <c r="F188" s="63"/>
      <c r="G188" s="49"/>
      <c r="H188" s="41"/>
      <c r="I188" s="41"/>
      <c r="J188" s="41"/>
      <c r="K188" s="41"/>
      <c r="L188" s="41"/>
      <c r="M188" s="41"/>
      <c r="N188" s="41"/>
      <c r="O188" s="41"/>
      <c r="P188" s="41"/>
      <c r="Q188" s="41"/>
      <c r="R188" s="41"/>
      <c r="S188" s="41"/>
      <c r="T188" s="41"/>
      <c r="U188" s="41"/>
      <c r="V188" s="41"/>
      <c r="W188" s="41"/>
      <c r="X188" s="41"/>
      <c r="Y188" s="41"/>
      <c r="Z188" s="41"/>
    </row>
    <row r="189" spans="1:26" ht="12.75" customHeight="1" x14ac:dyDescent="0.35">
      <c r="A189" s="74" t="s">
        <v>316</v>
      </c>
      <c r="B189" s="58"/>
      <c r="C189" s="41"/>
      <c r="D189" s="41">
        <f t="shared" si="3"/>
        <v>0</v>
      </c>
      <c r="E189" s="49">
        <f t="shared" si="4"/>
        <v>0</v>
      </c>
      <c r="F189" s="92"/>
      <c r="G189" s="49"/>
      <c r="H189" s="41"/>
      <c r="I189" s="41"/>
      <c r="J189" s="41"/>
      <c r="K189" s="41"/>
      <c r="L189" s="41"/>
      <c r="M189" s="41"/>
      <c r="N189" s="41"/>
      <c r="O189" s="41"/>
      <c r="P189" s="41"/>
      <c r="Q189" s="41"/>
      <c r="R189" s="41"/>
      <c r="S189" s="41"/>
      <c r="T189" s="41"/>
      <c r="U189" s="41"/>
      <c r="V189" s="41"/>
      <c r="W189" s="41"/>
      <c r="X189" s="41"/>
      <c r="Y189" s="41"/>
      <c r="Z189" s="41"/>
    </row>
    <row r="190" spans="1:26" ht="12.75" customHeight="1" x14ac:dyDescent="0.35">
      <c r="A190" s="58"/>
      <c r="B190" s="58"/>
      <c r="C190" s="41"/>
      <c r="D190" s="41">
        <f t="shared" si="3"/>
        <v>0</v>
      </c>
      <c r="E190" s="49">
        <f t="shared" si="4"/>
        <v>0</v>
      </c>
      <c r="F190" s="92"/>
      <c r="G190" s="49"/>
      <c r="H190" s="41"/>
      <c r="I190" s="41"/>
      <c r="J190" s="41"/>
      <c r="K190" s="41"/>
      <c r="L190" s="41"/>
      <c r="M190" s="41"/>
      <c r="N190" s="41"/>
      <c r="O190" s="41"/>
      <c r="P190" s="41"/>
      <c r="Q190" s="41"/>
      <c r="R190" s="41"/>
      <c r="S190" s="41"/>
      <c r="T190" s="41"/>
      <c r="U190" s="41"/>
      <c r="V190" s="41"/>
      <c r="W190" s="41"/>
      <c r="X190" s="41"/>
      <c r="Y190" s="41"/>
      <c r="Z190" s="41"/>
    </row>
    <row r="191" spans="1:26" ht="12.75" customHeight="1" x14ac:dyDescent="0.35">
      <c r="A191" s="92" t="s">
        <v>321</v>
      </c>
      <c r="B191" s="71">
        <v>800000</v>
      </c>
      <c r="C191" s="41"/>
      <c r="D191" s="41">
        <f t="shared" si="3"/>
        <v>33.333333333333336</v>
      </c>
      <c r="E191" s="49">
        <f t="shared" si="4"/>
        <v>36.666666666666671</v>
      </c>
      <c r="F191" s="92"/>
      <c r="G191" s="49"/>
      <c r="H191" s="41"/>
      <c r="I191" s="41"/>
      <c r="J191" s="41"/>
      <c r="K191" s="41"/>
      <c r="L191" s="41"/>
      <c r="M191" s="41"/>
      <c r="N191" s="41"/>
      <c r="O191" s="41"/>
      <c r="P191" s="41"/>
      <c r="Q191" s="41"/>
      <c r="R191" s="41"/>
      <c r="S191" s="41"/>
      <c r="T191" s="41"/>
      <c r="U191" s="41"/>
      <c r="V191" s="41"/>
      <c r="W191" s="41"/>
      <c r="X191" s="41"/>
      <c r="Y191" s="41"/>
      <c r="Z191" s="41"/>
    </row>
    <row r="192" spans="1:26" ht="12.75" customHeight="1" x14ac:dyDescent="0.35">
      <c r="A192" s="63" t="s">
        <v>324</v>
      </c>
      <c r="B192" s="98">
        <v>1050000</v>
      </c>
      <c r="C192" s="41"/>
      <c r="D192" s="41">
        <f t="shared" si="3"/>
        <v>43.75</v>
      </c>
      <c r="E192" s="49">
        <f t="shared" si="4"/>
        <v>48.125</v>
      </c>
      <c r="F192" s="92"/>
      <c r="G192" s="49"/>
      <c r="H192" s="41"/>
      <c r="I192" s="41"/>
      <c r="J192" s="41"/>
      <c r="K192" s="41"/>
      <c r="L192" s="41"/>
      <c r="M192" s="41"/>
      <c r="N192" s="41"/>
      <c r="O192" s="41"/>
      <c r="P192" s="41"/>
      <c r="Q192" s="41"/>
      <c r="R192" s="41"/>
      <c r="S192" s="41"/>
      <c r="T192" s="41"/>
      <c r="U192" s="41"/>
      <c r="V192" s="41"/>
      <c r="W192" s="41"/>
      <c r="X192" s="41"/>
      <c r="Y192" s="41"/>
      <c r="Z192" s="41"/>
    </row>
    <row r="193" spans="1:26" ht="12.75" customHeight="1" x14ac:dyDescent="0.35">
      <c r="A193" s="92" t="s">
        <v>326</v>
      </c>
      <c r="B193" s="74">
        <v>1000000</v>
      </c>
      <c r="C193" s="41"/>
      <c r="D193" s="41">
        <f t="shared" si="3"/>
        <v>41.666666666666664</v>
      </c>
      <c r="E193" s="49">
        <f t="shared" si="4"/>
        <v>45.833333333333329</v>
      </c>
      <c r="F193" s="93"/>
      <c r="G193" s="49"/>
      <c r="H193" s="41"/>
      <c r="I193" s="41"/>
      <c r="J193" s="41"/>
      <c r="K193" s="41"/>
      <c r="L193" s="41"/>
      <c r="M193" s="41"/>
      <c r="N193" s="41"/>
      <c r="O193" s="41"/>
      <c r="P193" s="41"/>
      <c r="Q193" s="41"/>
      <c r="R193" s="41"/>
      <c r="S193" s="41"/>
      <c r="T193" s="41"/>
      <c r="U193" s="41"/>
      <c r="V193" s="41"/>
      <c r="W193" s="41"/>
      <c r="X193" s="41"/>
      <c r="Y193" s="41"/>
      <c r="Z193" s="41"/>
    </row>
    <row r="194" spans="1:26" ht="12.75" customHeight="1" x14ac:dyDescent="0.35">
      <c r="A194" s="92" t="s">
        <v>328</v>
      </c>
      <c r="B194" s="77">
        <v>1100000</v>
      </c>
      <c r="C194" s="41"/>
      <c r="D194" s="41">
        <f t="shared" si="3"/>
        <v>45.833333333333336</v>
      </c>
      <c r="E194" s="49">
        <f t="shared" si="4"/>
        <v>50.416666666666671</v>
      </c>
      <c r="F194" s="92"/>
      <c r="G194" s="49"/>
      <c r="H194" s="41"/>
      <c r="I194" s="41"/>
      <c r="J194" s="41"/>
      <c r="K194" s="41"/>
      <c r="L194" s="41"/>
      <c r="M194" s="41"/>
      <c r="N194" s="41"/>
      <c r="O194" s="41"/>
      <c r="P194" s="41"/>
      <c r="Q194" s="41"/>
      <c r="R194" s="41"/>
      <c r="S194" s="41"/>
      <c r="T194" s="41"/>
      <c r="U194" s="41"/>
      <c r="V194" s="41"/>
      <c r="W194" s="41"/>
      <c r="X194" s="41"/>
      <c r="Y194" s="41"/>
      <c r="Z194" s="41"/>
    </row>
    <row r="195" spans="1:26" ht="12.75" customHeight="1" x14ac:dyDescent="0.35">
      <c r="A195" s="92" t="s">
        <v>329</v>
      </c>
      <c r="B195" s="98">
        <v>2500000</v>
      </c>
      <c r="C195" s="41"/>
      <c r="D195" s="41">
        <f t="shared" si="3"/>
        <v>104.16666666666667</v>
      </c>
      <c r="E195" s="49">
        <f t="shared" si="4"/>
        <v>114.58333333333334</v>
      </c>
      <c r="F195" s="41"/>
      <c r="G195" s="49"/>
      <c r="H195" s="41"/>
      <c r="I195" s="41"/>
      <c r="J195" s="41"/>
      <c r="K195" s="41"/>
      <c r="L195" s="41"/>
      <c r="M195" s="41"/>
      <c r="N195" s="41"/>
      <c r="O195" s="41"/>
      <c r="P195" s="41"/>
      <c r="Q195" s="41"/>
      <c r="R195" s="41"/>
      <c r="S195" s="41"/>
      <c r="T195" s="41"/>
      <c r="U195" s="41"/>
      <c r="V195" s="41"/>
      <c r="W195" s="41"/>
      <c r="X195" s="41"/>
      <c r="Y195" s="41"/>
      <c r="Z195" s="41"/>
    </row>
    <row r="196" spans="1:26" ht="12.75" customHeight="1" x14ac:dyDescent="0.4">
      <c r="A196" s="92" t="s">
        <v>332</v>
      </c>
      <c r="B196" s="108">
        <v>2300000</v>
      </c>
      <c r="C196" s="41"/>
      <c r="D196" s="41">
        <f t="shared" si="3"/>
        <v>95.833333333333329</v>
      </c>
      <c r="E196" s="49">
        <f t="shared" si="4"/>
        <v>105.41666666666666</v>
      </c>
      <c r="F196" s="94"/>
      <c r="G196" s="49"/>
      <c r="H196" s="41"/>
      <c r="I196" s="41"/>
      <c r="J196" s="41"/>
      <c r="K196" s="41"/>
      <c r="L196" s="41"/>
      <c r="M196" s="41"/>
      <c r="N196" s="41"/>
      <c r="O196" s="41"/>
      <c r="P196" s="41"/>
      <c r="Q196" s="41"/>
      <c r="R196" s="41"/>
      <c r="S196" s="41"/>
      <c r="T196" s="41"/>
      <c r="U196" s="41"/>
      <c r="V196" s="41"/>
      <c r="W196" s="41"/>
      <c r="X196" s="41"/>
      <c r="Y196" s="41"/>
      <c r="Z196" s="41"/>
    </row>
    <row r="197" spans="1:26" ht="12.75" customHeight="1" x14ac:dyDescent="0.35">
      <c r="A197" s="93" t="s">
        <v>335</v>
      </c>
      <c r="B197" s="107">
        <v>1200000</v>
      </c>
      <c r="C197" s="41"/>
      <c r="D197" s="41">
        <f t="shared" si="3"/>
        <v>50</v>
      </c>
      <c r="E197" s="49">
        <f t="shared" si="4"/>
        <v>55</v>
      </c>
      <c r="F197" s="74"/>
      <c r="G197" s="49"/>
      <c r="H197" s="41"/>
      <c r="I197" s="41"/>
      <c r="J197" s="41"/>
      <c r="K197" s="41"/>
      <c r="L197" s="41"/>
      <c r="M197" s="41"/>
      <c r="N197" s="41"/>
      <c r="O197" s="41"/>
      <c r="P197" s="41"/>
      <c r="Q197" s="41"/>
      <c r="R197" s="41"/>
      <c r="S197" s="41"/>
      <c r="T197" s="41"/>
      <c r="U197" s="41"/>
      <c r="V197" s="41"/>
      <c r="W197" s="41"/>
      <c r="X197" s="41"/>
      <c r="Y197" s="41"/>
      <c r="Z197" s="41"/>
    </row>
    <row r="198" spans="1:26" ht="12.75" customHeight="1" x14ac:dyDescent="0.35">
      <c r="A198" s="92" t="s">
        <v>338</v>
      </c>
      <c r="B198" s="76">
        <v>1400000</v>
      </c>
      <c r="C198" s="41"/>
      <c r="D198" s="41">
        <f t="shared" si="3"/>
        <v>58.333333333333336</v>
      </c>
      <c r="E198" s="49">
        <f t="shared" si="4"/>
        <v>64.166666666666671</v>
      </c>
      <c r="F198" s="65"/>
      <c r="G198" s="49"/>
      <c r="H198" s="41"/>
      <c r="I198" s="41"/>
      <c r="J198" s="41"/>
      <c r="K198" s="41"/>
      <c r="L198" s="41"/>
      <c r="M198" s="41"/>
      <c r="N198" s="41"/>
      <c r="O198" s="41"/>
      <c r="P198" s="41"/>
      <c r="Q198" s="41"/>
      <c r="R198" s="41"/>
      <c r="S198" s="41"/>
      <c r="T198" s="41"/>
      <c r="U198" s="41"/>
      <c r="V198" s="41"/>
      <c r="W198" s="41"/>
      <c r="X198" s="41"/>
      <c r="Y198" s="41"/>
      <c r="Z198" s="41"/>
    </row>
    <row r="199" spans="1:26" ht="12.75" customHeight="1" x14ac:dyDescent="0.3">
      <c r="A199" s="41"/>
      <c r="B199" s="41"/>
      <c r="C199" s="41"/>
      <c r="D199" s="41">
        <f t="shared" si="3"/>
        <v>0</v>
      </c>
      <c r="E199" s="49">
        <f t="shared" si="4"/>
        <v>0</v>
      </c>
      <c r="F199" s="65"/>
      <c r="G199" s="49"/>
      <c r="H199" s="41"/>
      <c r="I199" s="41"/>
      <c r="J199" s="41"/>
      <c r="K199" s="41"/>
      <c r="L199" s="41"/>
      <c r="M199" s="41"/>
      <c r="N199" s="41"/>
      <c r="O199" s="41"/>
      <c r="P199" s="41"/>
      <c r="Q199" s="41"/>
      <c r="R199" s="41"/>
      <c r="S199" s="41"/>
      <c r="T199" s="41"/>
      <c r="U199" s="41"/>
      <c r="V199" s="41"/>
      <c r="W199" s="41"/>
      <c r="X199" s="41"/>
      <c r="Y199" s="41"/>
      <c r="Z199" s="41"/>
    </row>
    <row r="200" spans="1:26" ht="12.75" customHeight="1" x14ac:dyDescent="0.35">
      <c r="A200" s="94" t="s">
        <v>343</v>
      </c>
      <c r="B200" s="109" t="s">
        <v>183</v>
      </c>
      <c r="C200" s="41"/>
      <c r="D200" s="41" t="e">
        <f t="shared" si="3"/>
        <v>#VALUE!</v>
      </c>
      <c r="E200" s="49" t="e">
        <f t="shared" si="4"/>
        <v>#VALUE!</v>
      </c>
      <c r="F200" s="65"/>
      <c r="G200" s="49"/>
      <c r="H200" s="41"/>
      <c r="I200" s="41"/>
      <c r="J200" s="41"/>
      <c r="K200" s="41"/>
      <c r="L200" s="41"/>
      <c r="M200" s="41"/>
      <c r="N200" s="41"/>
      <c r="O200" s="41"/>
      <c r="P200" s="41"/>
      <c r="Q200" s="41"/>
      <c r="R200" s="41"/>
      <c r="S200" s="41"/>
      <c r="T200" s="41"/>
      <c r="U200" s="41"/>
      <c r="V200" s="41"/>
      <c r="W200" s="41"/>
      <c r="X200" s="41"/>
      <c r="Y200" s="41"/>
      <c r="Z200" s="41"/>
    </row>
    <row r="201" spans="1:26" ht="12.75" customHeight="1" x14ac:dyDescent="0.35">
      <c r="A201" s="74" t="s">
        <v>175</v>
      </c>
      <c r="B201" s="58"/>
      <c r="C201" s="41"/>
      <c r="D201" s="41">
        <f t="shared" si="3"/>
        <v>0</v>
      </c>
      <c r="E201" s="49">
        <f t="shared" si="4"/>
        <v>0</v>
      </c>
      <c r="F201" s="65"/>
      <c r="G201" s="49"/>
      <c r="H201" s="41"/>
      <c r="I201" s="41"/>
      <c r="J201" s="41"/>
      <c r="K201" s="41"/>
      <c r="L201" s="41"/>
      <c r="M201" s="41"/>
      <c r="N201" s="41"/>
      <c r="O201" s="41"/>
      <c r="P201" s="41"/>
      <c r="Q201" s="41"/>
      <c r="R201" s="41"/>
      <c r="S201" s="41"/>
      <c r="T201" s="41"/>
      <c r="U201" s="41"/>
      <c r="V201" s="41"/>
      <c r="W201" s="41"/>
      <c r="X201" s="41"/>
      <c r="Y201" s="41"/>
      <c r="Z201" s="41"/>
    </row>
    <row r="202" spans="1:26" ht="12.75" customHeight="1" x14ac:dyDescent="0.3">
      <c r="A202" s="65" t="s">
        <v>366</v>
      </c>
      <c r="B202" s="65">
        <v>1620000</v>
      </c>
      <c r="C202" s="41"/>
      <c r="D202" s="41">
        <f t="shared" si="3"/>
        <v>67.5</v>
      </c>
      <c r="E202" s="49">
        <f t="shared" si="4"/>
        <v>74.25</v>
      </c>
      <c r="F202" s="65"/>
      <c r="G202" s="49"/>
      <c r="H202" s="41"/>
      <c r="I202" s="41"/>
      <c r="J202" s="41"/>
      <c r="K202" s="41"/>
      <c r="L202" s="41"/>
      <c r="M202" s="41"/>
      <c r="N202" s="41"/>
      <c r="O202" s="41"/>
      <c r="P202" s="41"/>
      <c r="Q202" s="41"/>
      <c r="R202" s="41"/>
      <c r="S202" s="41"/>
      <c r="T202" s="41"/>
      <c r="U202" s="41"/>
      <c r="V202" s="41"/>
      <c r="W202" s="41"/>
      <c r="X202" s="41"/>
      <c r="Y202" s="41"/>
      <c r="Z202" s="41"/>
    </row>
    <row r="203" spans="1:26" ht="12.75" customHeight="1" x14ac:dyDescent="0.3">
      <c r="A203" s="65" t="s">
        <v>369</v>
      </c>
      <c r="B203" s="65">
        <v>2160000</v>
      </c>
      <c r="C203" s="41"/>
      <c r="D203" s="41">
        <f t="shared" si="3"/>
        <v>90</v>
      </c>
      <c r="E203" s="49">
        <f t="shared" si="4"/>
        <v>99</v>
      </c>
      <c r="F203" s="65"/>
      <c r="G203" s="49"/>
      <c r="H203" s="41"/>
      <c r="I203" s="41"/>
      <c r="J203" s="41"/>
      <c r="K203" s="41"/>
      <c r="L203" s="41"/>
      <c r="M203" s="41"/>
      <c r="N203" s="41"/>
      <c r="O203" s="41"/>
      <c r="P203" s="41"/>
      <c r="Q203" s="41"/>
      <c r="R203" s="41"/>
      <c r="S203" s="41"/>
      <c r="T203" s="41"/>
      <c r="U203" s="41"/>
      <c r="V203" s="41"/>
      <c r="W203" s="41"/>
      <c r="X203" s="41"/>
      <c r="Y203" s="41"/>
      <c r="Z203" s="41"/>
    </row>
    <row r="204" spans="1:26" ht="12.75" customHeight="1" x14ac:dyDescent="0.3">
      <c r="A204" s="65" t="s">
        <v>371</v>
      </c>
      <c r="B204" s="110">
        <v>4054000</v>
      </c>
      <c r="C204" s="41"/>
      <c r="D204" s="41">
        <f t="shared" si="3"/>
        <v>168.91666666666666</v>
      </c>
      <c r="E204" s="49">
        <f t="shared" si="4"/>
        <v>185.80833333333334</v>
      </c>
      <c r="F204" s="68"/>
      <c r="G204" s="49"/>
      <c r="H204" s="41"/>
      <c r="I204" s="41"/>
      <c r="J204" s="41"/>
      <c r="K204" s="41"/>
      <c r="L204" s="41"/>
      <c r="M204" s="41"/>
      <c r="N204" s="41"/>
      <c r="O204" s="41"/>
      <c r="P204" s="41"/>
      <c r="Q204" s="41"/>
      <c r="R204" s="41"/>
      <c r="S204" s="41"/>
      <c r="T204" s="41"/>
      <c r="U204" s="41"/>
      <c r="V204" s="41"/>
      <c r="W204" s="41"/>
      <c r="X204" s="41"/>
      <c r="Y204" s="41"/>
      <c r="Z204" s="41"/>
    </row>
    <row r="205" spans="1:26" ht="12.75" customHeight="1" x14ac:dyDescent="0.3">
      <c r="A205" s="65" t="s">
        <v>374</v>
      </c>
      <c r="B205" s="110">
        <v>4603000</v>
      </c>
      <c r="C205" s="41"/>
      <c r="D205" s="41">
        <f t="shared" si="3"/>
        <v>191.79166666666666</v>
      </c>
      <c r="E205" s="49">
        <f t="shared" si="4"/>
        <v>210.97083333333333</v>
      </c>
      <c r="F205" s="65"/>
      <c r="G205" s="49"/>
      <c r="H205" s="41"/>
      <c r="I205" s="41"/>
      <c r="J205" s="41"/>
      <c r="K205" s="41"/>
      <c r="L205" s="41"/>
      <c r="M205" s="41"/>
      <c r="N205" s="41"/>
      <c r="O205" s="41"/>
      <c r="P205" s="41"/>
      <c r="Q205" s="41"/>
      <c r="R205" s="41"/>
      <c r="S205" s="41"/>
      <c r="T205" s="41"/>
      <c r="U205" s="41"/>
      <c r="V205" s="41"/>
      <c r="W205" s="41"/>
      <c r="X205" s="41"/>
      <c r="Y205" s="41"/>
      <c r="Z205" s="41"/>
    </row>
    <row r="206" spans="1:26" ht="12.75" customHeight="1" x14ac:dyDescent="0.3">
      <c r="A206" s="65" t="s">
        <v>377</v>
      </c>
      <c r="B206" s="110">
        <v>2330000</v>
      </c>
      <c r="C206" s="41"/>
      <c r="D206" s="41">
        <f t="shared" si="3"/>
        <v>97.083333333333329</v>
      </c>
      <c r="E206" s="49">
        <f t="shared" si="4"/>
        <v>106.79166666666666</v>
      </c>
      <c r="F206" s="65"/>
      <c r="G206" s="49"/>
      <c r="H206" s="41"/>
      <c r="I206" s="41"/>
      <c r="J206" s="41"/>
      <c r="K206" s="41"/>
      <c r="L206" s="41"/>
      <c r="M206" s="41"/>
      <c r="N206" s="41"/>
      <c r="O206" s="41"/>
      <c r="P206" s="41"/>
      <c r="Q206" s="41"/>
      <c r="R206" s="41"/>
      <c r="S206" s="41"/>
      <c r="T206" s="41"/>
      <c r="U206" s="41"/>
      <c r="V206" s="41"/>
      <c r="W206" s="41"/>
      <c r="X206" s="41"/>
      <c r="Y206" s="41"/>
      <c r="Z206" s="41"/>
    </row>
    <row r="207" spans="1:26" ht="12.75" customHeight="1" x14ac:dyDescent="0.35">
      <c r="A207" s="65" t="s">
        <v>379</v>
      </c>
      <c r="B207" s="76">
        <v>2560000</v>
      </c>
      <c r="C207" s="41"/>
      <c r="D207" s="41">
        <f t="shared" si="3"/>
        <v>106.66666666666667</v>
      </c>
      <c r="E207" s="49">
        <f t="shared" si="4"/>
        <v>117.33333333333334</v>
      </c>
      <c r="F207" s="65"/>
      <c r="G207" s="49"/>
      <c r="H207" s="41"/>
      <c r="I207" s="41"/>
      <c r="J207" s="41"/>
      <c r="K207" s="41"/>
      <c r="L207" s="41"/>
      <c r="M207" s="41"/>
      <c r="N207" s="41"/>
      <c r="O207" s="41"/>
      <c r="P207" s="41"/>
      <c r="Q207" s="41"/>
      <c r="R207" s="41"/>
      <c r="S207" s="41"/>
      <c r="T207" s="41"/>
      <c r="U207" s="41"/>
      <c r="V207" s="41"/>
      <c r="W207" s="41"/>
      <c r="X207" s="41"/>
      <c r="Y207" s="41"/>
      <c r="Z207" s="41"/>
    </row>
    <row r="208" spans="1:26" ht="12.75" customHeight="1" x14ac:dyDescent="0.3">
      <c r="A208" s="68" t="s">
        <v>381</v>
      </c>
      <c r="B208" s="110">
        <v>3220000</v>
      </c>
      <c r="C208" s="41"/>
      <c r="D208" s="41">
        <f t="shared" si="3"/>
        <v>134.16666666666666</v>
      </c>
      <c r="E208" s="49">
        <f t="shared" si="4"/>
        <v>147.58333333333331</v>
      </c>
      <c r="F208" s="78"/>
      <c r="G208" s="49"/>
      <c r="H208" s="41"/>
      <c r="I208" s="41"/>
      <c r="J208" s="41"/>
      <c r="K208" s="41"/>
      <c r="L208" s="41"/>
      <c r="M208" s="41"/>
      <c r="N208" s="41"/>
      <c r="O208" s="41"/>
      <c r="P208" s="41"/>
      <c r="Q208" s="41"/>
      <c r="R208" s="41"/>
      <c r="S208" s="41"/>
      <c r="T208" s="41"/>
      <c r="U208" s="41"/>
      <c r="V208" s="41"/>
      <c r="W208" s="41"/>
      <c r="X208" s="41"/>
      <c r="Y208" s="41"/>
      <c r="Z208" s="41"/>
    </row>
    <row r="209" spans="1:26" ht="12.75" customHeight="1" x14ac:dyDescent="0.3">
      <c r="A209" s="65" t="s">
        <v>383</v>
      </c>
      <c r="B209" s="110">
        <v>6440000</v>
      </c>
      <c r="C209" s="41"/>
      <c r="D209" s="41">
        <f t="shared" si="3"/>
        <v>268.33333333333331</v>
      </c>
      <c r="E209" s="49">
        <f t="shared" si="4"/>
        <v>295.16666666666663</v>
      </c>
      <c r="F209" s="65"/>
      <c r="G209" s="49"/>
      <c r="H209" s="41"/>
      <c r="I209" s="41"/>
      <c r="J209" s="41"/>
      <c r="K209" s="41"/>
      <c r="L209" s="41"/>
      <c r="M209" s="41"/>
      <c r="N209" s="41"/>
      <c r="O209" s="41"/>
      <c r="P209" s="41"/>
      <c r="Q209" s="41"/>
      <c r="R209" s="41"/>
      <c r="S209" s="41"/>
      <c r="T209" s="41"/>
      <c r="U209" s="41"/>
      <c r="V209" s="41"/>
      <c r="W209" s="41"/>
      <c r="X209" s="41"/>
      <c r="Y209" s="41"/>
      <c r="Z209" s="41"/>
    </row>
    <row r="210" spans="1:26" ht="12.75" customHeight="1" x14ac:dyDescent="0.35">
      <c r="A210" s="65" t="s">
        <v>385</v>
      </c>
      <c r="B210" s="76">
        <v>1620000</v>
      </c>
      <c r="C210" s="41"/>
      <c r="D210" s="41">
        <f t="shared" si="3"/>
        <v>67.5</v>
      </c>
      <c r="E210" s="49">
        <f t="shared" si="4"/>
        <v>74.25</v>
      </c>
      <c r="F210" s="65"/>
      <c r="G210" s="49"/>
      <c r="H210" s="41"/>
      <c r="I210" s="41"/>
      <c r="J210" s="41"/>
      <c r="K210" s="41"/>
      <c r="L210" s="41"/>
      <c r="M210" s="41"/>
      <c r="N210" s="41"/>
      <c r="O210" s="41"/>
      <c r="P210" s="41"/>
      <c r="Q210" s="41"/>
      <c r="R210" s="41"/>
      <c r="S210" s="41"/>
      <c r="T210" s="41"/>
      <c r="U210" s="41"/>
      <c r="V210" s="41"/>
      <c r="W210" s="41"/>
      <c r="X210" s="41"/>
      <c r="Y210" s="41"/>
      <c r="Z210" s="41"/>
    </row>
    <row r="211" spans="1:26" ht="12.75" customHeight="1" x14ac:dyDescent="0.35">
      <c r="A211" s="65" t="s">
        <v>387</v>
      </c>
      <c r="B211" s="76">
        <v>1820000</v>
      </c>
      <c r="C211" s="41"/>
      <c r="D211" s="41">
        <f t="shared" si="3"/>
        <v>75.833333333333329</v>
      </c>
      <c r="E211" s="49">
        <f t="shared" si="4"/>
        <v>83.416666666666657</v>
      </c>
      <c r="F211" s="65"/>
      <c r="G211" s="49"/>
      <c r="H211" s="41"/>
      <c r="I211" s="41"/>
      <c r="J211" s="41"/>
      <c r="K211" s="41"/>
      <c r="L211" s="41"/>
      <c r="M211" s="41"/>
      <c r="N211" s="41"/>
      <c r="O211" s="41"/>
      <c r="P211" s="41"/>
      <c r="Q211" s="41"/>
      <c r="R211" s="41"/>
      <c r="S211" s="41"/>
      <c r="T211" s="41"/>
      <c r="U211" s="41"/>
      <c r="V211" s="41"/>
      <c r="W211" s="41"/>
      <c r="X211" s="41"/>
      <c r="Y211" s="41"/>
      <c r="Z211" s="41"/>
    </row>
    <row r="212" spans="1:26" ht="12.75" customHeight="1" x14ac:dyDescent="0.3">
      <c r="A212" s="78" t="s">
        <v>176</v>
      </c>
      <c r="B212" s="58"/>
      <c r="C212" s="41"/>
      <c r="D212" s="41">
        <f t="shared" si="3"/>
        <v>0</v>
      </c>
      <c r="E212" s="49">
        <f t="shared" si="4"/>
        <v>0</v>
      </c>
      <c r="F212" s="65"/>
      <c r="G212" s="49"/>
      <c r="H212" s="41"/>
      <c r="I212" s="41"/>
      <c r="J212" s="41"/>
      <c r="K212" s="41"/>
      <c r="L212" s="41"/>
      <c r="M212" s="41"/>
      <c r="N212" s="41"/>
      <c r="O212" s="41"/>
      <c r="P212" s="41"/>
      <c r="Q212" s="41"/>
      <c r="R212" s="41"/>
      <c r="S212" s="41"/>
      <c r="T212" s="41"/>
      <c r="U212" s="41"/>
      <c r="V212" s="41"/>
      <c r="W212" s="41"/>
      <c r="X212" s="41"/>
      <c r="Y212" s="41"/>
      <c r="Z212" s="41"/>
    </row>
    <row r="213" spans="1:26" ht="12.75" customHeight="1" x14ac:dyDescent="0.35">
      <c r="A213" s="65" t="s">
        <v>361</v>
      </c>
      <c r="B213" s="76">
        <v>1800000</v>
      </c>
      <c r="C213" s="41"/>
      <c r="D213" s="41">
        <f t="shared" si="3"/>
        <v>75</v>
      </c>
      <c r="E213" s="49">
        <f t="shared" si="4"/>
        <v>82.5</v>
      </c>
      <c r="F213" s="65"/>
      <c r="G213" s="49"/>
      <c r="H213" s="41"/>
      <c r="I213" s="41"/>
      <c r="J213" s="41"/>
      <c r="K213" s="41"/>
      <c r="L213" s="41"/>
      <c r="M213" s="41"/>
      <c r="N213" s="41"/>
      <c r="O213" s="41"/>
      <c r="P213" s="41"/>
      <c r="Q213" s="41"/>
      <c r="R213" s="41"/>
      <c r="S213" s="41"/>
      <c r="T213" s="41"/>
      <c r="U213" s="41"/>
      <c r="V213" s="41"/>
      <c r="W213" s="41"/>
      <c r="X213" s="41"/>
      <c r="Y213" s="41"/>
      <c r="Z213" s="41"/>
    </row>
    <row r="214" spans="1:26" ht="12.75" customHeight="1" x14ac:dyDescent="0.35">
      <c r="A214" s="65" t="s">
        <v>363</v>
      </c>
      <c r="B214" s="76">
        <v>2000000</v>
      </c>
      <c r="C214" s="41"/>
      <c r="D214" s="41">
        <f t="shared" si="3"/>
        <v>83.333333333333329</v>
      </c>
      <c r="E214" s="49">
        <f t="shared" si="4"/>
        <v>91.666666666666657</v>
      </c>
      <c r="F214" s="65"/>
      <c r="G214" s="49"/>
      <c r="H214" s="41"/>
      <c r="I214" s="41"/>
      <c r="J214" s="41"/>
      <c r="K214" s="41"/>
      <c r="L214" s="41"/>
      <c r="M214" s="41"/>
      <c r="N214" s="41"/>
      <c r="O214" s="41"/>
      <c r="P214" s="41"/>
      <c r="Q214" s="41"/>
      <c r="R214" s="41"/>
      <c r="S214" s="41"/>
      <c r="T214" s="41"/>
      <c r="U214" s="41"/>
      <c r="V214" s="41"/>
      <c r="W214" s="41"/>
      <c r="X214" s="41"/>
      <c r="Y214" s="41"/>
      <c r="Z214" s="41"/>
    </row>
    <row r="215" spans="1:26" ht="12.75" customHeight="1" x14ac:dyDescent="0.35">
      <c r="A215" s="65" t="s">
        <v>365</v>
      </c>
      <c r="B215" s="76">
        <v>7300000</v>
      </c>
      <c r="C215" s="41"/>
      <c r="D215" s="41">
        <f t="shared" si="3"/>
        <v>304.16666666666669</v>
      </c>
      <c r="E215" s="49">
        <f t="shared" si="4"/>
        <v>334.58333333333337</v>
      </c>
      <c r="F215" s="65"/>
      <c r="G215" s="49"/>
      <c r="H215" s="41"/>
      <c r="I215" s="41"/>
      <c r="J215" s="41"/>
      <c r="K215" s="41"/>
      <c r="L215" s="41"/>
      <c r="M215" s="41"/>
      <c r="N215" s="41"/>
      <c r="O215" s="41"/>
      <c r="P215" s="41"/>
      <c r="Q215" s="41"/>
      <c r="R215" s="41"/>
      <c r="S215" s="41"/>
      <c r="T215" s="41"/>
      <c r="U215" s="41"/>
      <c r="V215" s="41"/>
      <c r="W215" s="41"/>
      <c r="X215" s="41"/>
      <c r="Y215" s="41"/>
      <c r="Z215" s="41"/>
    </row>
    <row r="216" spans="1:26" ht="12.75" customHeight="1" x14ac:dyDescent="0.35">
      <c r="A216" s="65" t="s">
        <v>367</v>
      </c>
      <c r="B216" s="76">
        <v>12200000</v>
      </c>
      <c r="C216" s="41"/>
      <c r="D216" s="41">
        <f t="shared" si="3"/>
        <v>508.33333333333331</v>
      </c>
      <c r="E216" s="49">
        <f t="shared" si="4"/>
        <v>559.16666666666663</v>
      </c>
      <c r="F216" s="65"/>
      <c r="G216" s="49"/>
      <c r="H216" s="41"/>
      <c r="I216" s="41"/>
      <c r="J216" s="41"/>
      <c r="K216" s="41"/>
      <c r="L216" s="41"/>
      <c r="M216" s="41"/>
      <c r="N216" s="41"/>
      <c r="O216" s="41"/>
      <c r="P216" s="41"/>
      <c r="Q216" s="41"/>
      <c r="R216" s="41"/>
      <c r="S216" s="41"/>
      <c r="T216" s="41"/>
      <c r="U216" s="41"/>
      <c r="V216" s="41"/>
      <c r="W216" s="41"/>
      <c r="X216" s="41"/>
      <c r="Y216" s="41"/>
      <c r="Z216" s="41"/>
    </row>
    <row r="217" spans="1:26" ht="12.75" customHeight="1" x14ac:dyDescent="0.3">
      <c r="A217" s="65" t="s">
        <v>370</v>
      </c>
      <c r="B217" s="65">
        <v>2765000</v>
      </c>
      <c r="C217" s="41"/>
      <c r="D217" s="41">
        <f t="shared" si="3"/>
        <v>115.20833333333333</v>
      </c>
      <c r="E217" s="49">
        <f t="shared" si="4"/>
        <v>126.72916666666666</v>
      </c>
      <c r="F217" s="65"/>
      <c r="G217" s="49"/>
      <c r="H217" s="41"/>
      <c r="I217" s="41"/>
      <c r="J217" s="41"/>
      <c r="K217" s="41"/>
      <c r="L217" s="41"/>
      <c r="M217" s="41"/>
      <c r="N217" s="41"/>
      <c r="O217" s="41"/>
      <c r="P217" s="41"/>
      <c r="Q217" s="41"/>
      <c r="R217" s="41"/>
      <c r="S217" s="41"/>
      <c r="T217" s="41"/>
      <c r="U217" s="41"/>
      <c r="V217" s="41"/>
      <c r="W217" s="41"/>
      <c r="X217" s="41"/>
      <c r="Y217" s="41"/>
      <c r="Z217" s="41"/>
    </row>
    <row r="218" spans="1:26" ht="12.75" customHeight="1" x14ac:dyDescent="0.35">
      <c r="A218" s="65" t="s">
        <v>372</v>
      </c>
      <c r="B218" s="63">
        <v>3470000</v>
      </c>
      <c r="C218" s="41"/>
      <c r="D218" s="41">
        <f t="shared" si="3"/>
        <v>144.58333333333334</v>
      </c>
      <c r="E218" s="49">
        <f t="shared" si="4"/>
        <v>159.04166666666669</v>
      </c>
      <c r="F218" s="65"/>
      <c r="G218" s="49"/>
      <c r="H218" s="41"/>
      <c r="I218" s="41"/>
      <c r="J218" s="41"/>
      <c r="K218" s="41"/>
      <c r="L218" s="41"/>
      <c r="M218" s="41"/>
      <c r="N218" s="41"/>
      <c r="O218" s="41"/>
      <c r="P218" s="41"/>
      <c r="Q218" s="41"/>
      <c r="R218" s="41"/>
      <c r="S218" s="41"/>
      <c r="T218" s="41"/>
      <c r="U218" s="41"/>
      <c r="V218" s="41"/>
      <c r="W218" s="41"/>
      <c r="X218" s="41"/>
      <c r="Y218" s="41"/>
      <c r="Z218" s="41"/>
    </row>
    <row r="219" spans="1:26" ht="12.75" customHeight="1" x14ac:dyDescent="0.35">
      <c r="A219" s="65" t="s">
        <v>375</v>
      </c>
      <c r="B219" s="76">
        <v>2040000</v>
      </c>
      <c r="C219" s="41"/>
      <c r="D219" s="41">
        <f t="shared" si="3"/>
        <v>85</v>
      </c>
      <c r="E219" s="49">
        <f t="shared" si="4"/>
        <v>93.5</v>
      </c>
      <c r="F219" s="65"/>
      <c r="G219" s="49"/>
      <c r="H219" s="41"/>
      <c r="I219" s="41"/>
      <c r="J219" s="41"/>
      <c r="K219" s="41"/>
      <c r="L219" s="41"/>
      <c r="M219" s="41"/>
      <c r="N219" s="41"/>
      <c r="O219" s="41"/>
      <c r="P219" s="41"/>
      <c r="Q219" s="41"/>
      <c r="R219" s="41"/>
      <c r="S219" s="41"/>
      <c r="T219" s="41"/>
      <c r="U219" s="41"/>
      <c r="V219" s="41"/>
      <c r="W219" s="41"/>
      <c r="X219" s="41"/>
      <c r="Y219" s="41"/>
      <c r="Z219" s="41"/>
    </row>
    <row r="220" spans="1:26" ht="12.75" customHeight="1" x14ac:dyDescent="0.35">
      <c r="A220" s="65" t="s">
        <v>378</v>
      </c>
      <c r="B220" s="76">
        <v>2550000</v>
      </c>
      <c r="C220" s="41"/>
      <c r="D220" s="41">
        <f t="shared" si="3"/>
        <v>106.25</v>
      </c>
      <c r="E220" s="49">
        <f t="shared" si="4"/>
        <v>116.875</v>
      </c>
      <c r="F220" s="65"/>
      <c r="G220" s="49"/>
      <c r="H220" s="41"/>
      <c r="I220" s="41"/>
      <c r="J220" s="41"/>
      <c r="K220" s="41"/>
      <c r="L220" s="41"/>
      <c r="M220" s="41"/>
      <c r="N220" s="41"/>
      <c r="O220" s="41"/>
      <c r="P220" s="41"/>
      <c r="Q220" s="41"/>
      <c r="R220" s="41"/>
      <c r="S220" s="41"/>
      <c r="T220" s="41"/>
      <c r="U220" s="41"/>
      <c r="V220" s="41"/>
      <c r="W220" s="41"/>
      <c r="X220" s="41"/>
      <c r="Y220" s="41"/>
      <c r="Z220" s="41"/>
    </row>
    <row r="221" spans="1:26" ht="12.75" customHeight="1" x14ac:dyDescent="0.3">
      <c r="A221" s="65" t="s">
        <v>380</v>
      </c>
      <c r="B221" s="111">
        <v>1600000</v>
      </c>
      <c r="C221" s="41"/>
      <c r="D221" s="41">
        <f t="shared" si="3"/>
        <v>66.666666666666671</v>
      </c>
      <c r="E221" s="49">
        <f t="shared" si="4"/>
        <v>73.333333333333343</v>
      </c>
      <c r="F221" s="58"/>
      <c r="G221" s="49"/>
      <c r="H221" s="41"/>
      <c r="I221" s="41"/>
      <c r="J221" s="41"/>
      <c r="K221" s="41"/>
      <c r="L221" s="41"/>
      <c r="M221" s="41"/>
      <c r="N221" s="41"/>
      <c r="O221" s="41"/>
      <c r="P221" s="41"/>
      <c r="Q221" s="41"/>
      <c r="R221" s="41"/>
      <c r="S221" s="41"/>
      <c r="T221" s="41"/>
      <c r="U221" s="41"/>
      <c r="V221" s="41"/>
      <c r="W221" s="41"/>
      <c r="X221" s="41"/>
      <c r="Y221" s="41"/>
      <c r="Z221" s="41"/>
    </row>
    <row r="222" spans="1:26" ht="12.75" customHeight="1" x14ac:dyDescent="0.35">
      <c r="A222" s="65" t="s">
        <v>382</v>
      </c>
      <c r="B222" s="76">
        <v>2100000</v>
      </c>
      <c r="C222" s="41"/>
      <c r="D222" s="41">
        <f t="shared" si="3"/>
        <v>87.5</v>
      </c>
      <c r="E222" s="49">
        <f t="shared" si="4"/>
        <v>96.25</v>
      </c>
      <c r="F222" s="58"/>
      <c r="G222" s="49"/>
      <c r="H222" s="41"/>
      <c r="I222" s="41"/>
      <c r="J222" s="41"/>
      <c r="K222" s="41"/>
      <c r="L222" s="41"/>
      <c r="M222" s="41"/>
      <c r="N222" s="41"/>
      <c r="O222" s="41"/>
      <c r="P222" s="41"/>
      <c r="Q222" s="41"/>
      <c r="R222" s="41"/>
      <c r="S222" s="41"/>
      <c r="T222" s="41"/>
      <c r="U222" s="41"/>
      <c r="V222" s="41"/>
      <c r="W222" s="41"/>
      <c r="X222" s="41"/>
      <c r="Y222" s="41"/>
      <c r="Z222" s="41"/>
    </row>
    <row r="223" spans="1:26" ht="12.75" customHeight="1" x14ac:dyDescent="0.3">
      <c r="A223" s="65" t="s">
        <v>384</v>
      </c>
      <c r="B223" s="110">
        <v>1925000</v>
      </c>
      <c r="C223" s="41"/>
      <c r="D223" s="41">
        <f t="shared" si="3"/>
        <v>80.208333333333329</v>
      </c>
      <c r="E223" s="49">
        <f t="shared" si="4"/>
        <v>88.229166666666657</v>
      </c>
      <c r="F223" s="78"/>
      <c r="G223" s="49"/>
      <c r="H223" s="41"/>
      <c r="I223" s="41"/>
      <c r="J223" s="41"/>
      <c r="K223" s="41"/>
      <c r="L223" s="41"/>
      <c r="M223" s="41"/>
      <c r="N223" s="41"/>
      <c r="O223" s="41"/>
      <c r="P223" s="41"/>
      <c r="Q223" s="41"/>
      <c r="R223" s="41"/>
      <c r="S223" s="41"/>
      <c r="T223" s="41"/>
      <c r="U223" s="41"/>
      <c r="V223" s="41"/>
      <c r="W223" s="41"/>
      <c r="X223" s="41"/>
      <c r="Y223" s="41"/>
      <c r="Z223" s="41"/>
    </row>
    <row r="224" spans="1:26" ht="12.75" customHeight="1" x14ac:dyDescent="0.35">
      <c r="A224" s="65" t="s">
        <v>386</v>
      </c>
      <c r="B224" s="76">
        <v>2200000</v>
      </c>
      <c r="C224" s="41"/>
      <c r="D224" s="41">
        <f t="shared" si="3"/>
        <v>91.666666666666671</v>
      </c>
      <c r="E224" s="49">
        <f t="shared" si="4"/>
        <v>100.83333333333334</v>
      </c>
      <c r="F224" s="65"/>
      <c r="G224" s="49"/>
      <c r="H224" s="41"/>
      <c r="I224" s="41"/>
      <c r="J224" s="41"/>
      <c r="K224" s="41"/>
      <c r="L224" s="41"/>
      <c r="M224" s="41"/>
      <c r="N224" s="41"/>
      <c r="O224" s="41"/>
      <c r="P224" s="41"/>
      <c r="Q224" s="41"/>
      <c r="R224" s="41"/>
      <c r="S224" s="41"/>
      <c r="T224" s="41"/>
      <c r="U224" s="41"/>
      <c r="V224" s="41"/>
      <c r="W224" s="41"/>
      <c r="X224" s="41"/>
      <c r="Y224" s="41"/>
      <c r="Z224" s="41"/>
    </row>
    <row r="225" spans="1:26" ht="12.75" customHeight="1" x14ac:dyDescent="0.3">
      <c r="A225" s="58"/>
      <c r="B225" s="41"/>
      <c r="C225" s="41"/>
      <c r="D225" s="41">
        <f t="shared" si="3"/>
        <v>0</v>
      </c>
      <c r="E225" s="49">
        <f t="shared" si="4"/>
        <v>0</v>
      </c>
      <c r="F225" s="65"/>
      <c r="G225" s="49"/>
      <c r="H225" s="41"/>
      <c r="I225" s="41"/>
      <c r="J225" s="41"/>
      <c r="K225" s="41"/>
      <c r="L225" s="41"/>
      <c r="M225" s="41"/>
      <c r="N225" s="41"/>
      <c r="O225" s="41"/>
      <c r="P225" s="41"/>
      <c r="Q225" s="41"/>
      <c r="R225" s="41"/>
      <c r="S225" s="41"/>
      <c r="T225" s="41"/>
      <c r="U225" s="41"/>
      <c r="V225" s="41"/>
      <c r="W225" s="41"/>
      <c r="X225" s="41"/>
      <c r="Y225" s="41"/>
      <c r="Z225" s="41"/>
    </row>
    <row r="226" spans="1:26" ht="12.75" customHeight="1" x14ac:dyDescent="0.2">
      <c r="A226" s="58"/>
      <c r="B226" s="41"/>
      <c r="C226" s="41"/>
      <c r="D226" s="41">
        <f t="shared" si="3"/>
        <v>0</v>
      </c>
      <c r="E226" s="49">
        <f t="shared" si="4"/>
        <v>0</v>
      </c>
      <c r="F226" s="41"/>
      <c r="G226" s="49"/>
      <c r="H226" s="41"/>
      <c r="I226" s="41"/>
      <c r="J226" s="41"/>
      <c r="K226" s="41"/>
      <c r="L226" s="41"/>
      <c r="M226" s="41"/>
      <c r="N226" s="41"/>
      <c r="O226" s="41"/>
      <c r="P226" s="41"/>
      <c r="Q226" s="41"/>
      <c r="R226" s="41"/>
      <c r="S226" s="41"/>
      <c r="T226" s="41"/>
      <c r="U226" s="41"/>
      <c r="V226" s="41"/>
      <c r="W226" s="41"/>
      <c r="X226" s="41"/>
      <c r="Y226" s="41"/>
      <c r="Z226" s="41"/>
    </row>
    <row r="227" spans="1:26" ht="12.75" customHeight="1" x14ac:dyDescent="0.4">
      <c r="A227" s="78" t="s">
        <v>177</v>
      </c>
      <c r="B227" s="41"/>
      <c r="C227" s="41"/>
      <c r="D227" s="41">
        <f t="shared" si="3"/>
        <v>0</v>
      </c>
      <c r="E227" s="49">
        <f t="shared" si="4"/>
        <v>0</v>
      </c>
      <c r="F227" s="95"/>
      <c r="G227" s="49"/>
      <c r="H227" s="41"/>
      <c r="I227" s="41"/>
      <c r="J227" s="41"/>
      <c r="K227" s="41"/>
      <c r="L227" s="41"/>
      <c r="M227" s="41"/>
      <c r="N227" s="41"/>
      <c r="O227" s="41"/>
      <c r="P227" s="41"/>
      <c r="Q227" s="41"/>
      <c r="R227" s="41"/>
      <c r="S227" s="41"/>
      <c r="T227" s="41"/>
      <c r="U227" s="41"/>
      <c r="V227" s="41"/>
      <c r="W227" s="41"/>
      <c r="X227" s="41"/>
      <c r="Y227" s="41"/>
      <c r="Z227" s="41"/>
    </row>
    <row r="228" spans="1:26" ht="12.75" customHeight="1" x14ac:dyDescent="0.35">
      <c r="A228" s="65" t="s">
        <v>348</v>
      </c>
      <c r="B228" s="76">
        <v>600000</v>
      </c>
      <c r="C228" s="41"/>
      <c r="D228" s="41">
        <f t="shared" si="3"/>
        <v>25</v>
      </c>
      <c r="E228" s="49">
        <f t="shared" si="4"/>
        <v>27.5</v>
      </c>
      <c r="F228" s="74"/>
      <c r="G228" s="49"/>
      <c r="H228" s="41"/>
      <c r="I228" s="41"/>
      <c r="J228" s="41"/>
      <c r="K228" s="41"/>
      <c r="L228" s="41"/>
      <c r="M228" s="41"/>
      <c r="N228" s="41"/>
      <c r="O228" s="41"/>
      <c r="P228" s="41"/>
      <c r="Q228" s="41"/>
      <c r="R228" s="41"/>
      <c r="S228" s="41"/>
      <c r="T228" s="41"/>
      <c r="U228" s="41"/>
      <c r="V228" s="41"/>
      <c r="W228" s="41"/>
      <c r="X228" s="41"/>
      <c r="Y228" s="41"/>
      <c r="Z228" s="41"/>
    </row>
    <row r="229" spans="1:26" ht="12.75" customHeight="1" x14ac:dyDescent="0.35">
      <c r="A229" s="65" t="s">
        <v>350</v>
      </c>
      <c r="B229" s="76">
        <v>750000</v>
      </c>
      <c r="C229" s="41"/>
      <c r="D229" s="41">
        <f t="shared" si="3"/>
        <v>31.25</v>
      </c>
      <c r="E229" s="49">
        <f t="shared" si="4"/>
        <v>34.375</v>
      </c>
      <c r="F229" s="93"/>
      <c r="G229" s="49"/>
      <c r="H229" s="41"/>
      <c r="I229" s="41"/>
      <c r="J229" s="41"/>
      <c r="K229" s="41"/>
      <c r="L229" s="41"/>
      <c r="M229" s="41"/>
      <c r="N229" s="41"/>
      <c r="O229" s="41"/>
      <c r="P229" s="41"/>
      <c r="Q229" s="41"/>
      <c r="R229" s="41"/>
      <c r="S229" s="41"/>
      <c r="T229" s="41"/>
      <c r="U229" s="41"/>
      <c r="V229" s="41"/>
      <c r="W229" s="41"/>
      <c r="X229" s="41"/>
      <c r="Y229" s="41"/>
      <c r="Z229" s="41"/>
    </row>
    <row r="230" spans="1:26" ht="12.75" customHeight="1" x14ac:dyDescent="0.35">
      <c r="A230" s="41"/>
      <c r="B230" s="41"/>
      <c r="C230" s="41"/>
      <c r="D230" s="41">
        <f t="shared" si="3"/>
        <v>0</v>
      </c>
      <c r="E230" s="49">
        <f t="shared" si="4"/>
        <v>0</v>
      </c>
      <c r="F230" s="93"/>
      <c r="G230" s="49"/>
      <c r="H230" s="41"/>
      <c r="I230" s="41"/>
      <c r="J230" s="41"/>
      <c r="K230" s="41"/>
      <c r="L230" s="41"/>
      <c r="M230" s="41"/>
      <c r="N230" s="41"/>
      <c r="O230" s="41"/>
      <c r="P230" s="41"/>
      <c r="Q230" s="41"/>
      <c r="R230" s="41"/>
      <c r="S230" s="41"/>
      <c r="T230" s="41"/>
      <c r="U230" s="41"/>
      <c r="V230" s="41"/>
      <c r="W230" s="41"/>
      <c r="X230" s="41"/>
      <c r="Y230" s="41"/>
      <c r="Z230" s="41"/>
    </row>
    <row r="231" spans="1:26" ht="12.75" customHeight="1" x14ac:dyDescent="0.4">
      <c r="A231" s="95" t="s">
        <v>355</v>
      </c>
      <c r="B231" s="109" t="s">
        <v>183</v>
      </c>
      <c r="C231" s="41"/>
      <c r="D231" s="41" t="e">
        <f t="shared" si="3"/>
        <v>#VALUE!</v>
      </c>
      <c r="E231" s="49" t="e">
        <f t="shared" si="4"/>
        <v>#VALUE!</v>
      </c>
      <c r="F231" s="92"/>
      <c r="G231" s="49"/>
      <c r="H231" s="41"/>
      <c r="I231" s="41"/>
      <c r="J231" s="41"/>
      <c r="K231" s="41"/>
      <c r="L231" s="41"/>
      <c r="M231" s="41"/>
      <c r="N231" s="41"/>
      <c r="O231" s="41"/>
      <c r="P231" s="41"/>
      <c r="Q231" s="41"/>
      <c r="R231" s="41"/>
      <c r="S231" s="41"/>
      <c r="T231" s="41"/>
      <c r="U231" s="41"/>
      <c r="V231" s="41"/>
      <c r="W231" s="41"/>
      <c r="X231" s="41"/>
      <c r="Y231" s="41"/>
      <c r="Z231" s="41"/>
    </row>
    <row r="232" spans="1:26" ht="12.75" customHeight="1" x14ac:dyDescent="0.35">
      <c r="A232" s="74" t="s">
        <v>177</v>
      </c>
      <c r="B232" s="58"/>
      <c r="C232" s="41"/>
      <c r="D232" s="41">
        <f t="shared" si="3"/>
        <v>0</v>
      </c>
      <c r="E232" s="49">
        <f t="shared" si="4"/>
        <v>0</v>
      </c>
      <c r="F232" s="92"/>
      <c r="G232" s="49"/>
      <c r="H232" s="41"/>
      <c r="I232" s="41"/>
      <c r="J232" s="41"/>
      <c r="K232" s="41"/>
      <c r="L232" s="41"/>
      <c r="M232" s="41"/>
      <c r="N232" s="41"/>
      <c r="O232" s="41"/>
      <c r="P232" s="41"/>
      <c r="Q232" s="41"/>
      <c r="R232" s="41"/>
      <c r="S232" s="41"/>
      <c r="T232" s="41"/>
      <c r="U232" s="41"/>
      <c r="V232" s="41"/>
      <c r="W232" s="41"/>
      <c r="X232" s="41"/>
      <c r="Y232" s="41"/>
      <c r="Z232" s="41"/>
    </row>
    <row r="233" spans="1:26" ht="12.75" customHeight="1" x14ac:dyDescent="0.35">
      <c r="A233" s="93" t="s">
        <v>358</v>
      </c>
      <c r="B233" s="77">
        <v>700000</v>
      </c>
      <c r="C233" s="41"/>
      <c r="D233" s="41">
        <f t="shared" si="3"/>
        <v>29.166666666666668</v>
      </c>
      <c r="E233" s="49">
        <f t="shared" si="4"/>
        <v>32.083333333333336</v>
      </c>
      <c r="F233" s="58"/>
      <c r="G233" s="49"/>
      <c r="H233" s="41"/>
      <c r="I233" s="41"/>
      <c r="J233" s="41"/>
      <c r="K233" s="41"/>
      <c r="L233" s="41"/>
      <c r="M233" s="41"/>
      <c r="N233" s="41"/>
      <c r="O233" s="41"/>
      <c r="P233" s="41"/>
      <c r="Q233" s="41"/>
      <c r="R233" s="41"/>
      <c r="S233" s="41"/>
      <c r="T233" s="41"/>
      <c r="U233" s="41"/>
      <c r="V233" s="41"/>
      <c r="W233" s="41"/>
      <c r="X233" s="41"/>
      <c r="Y233" s="41"/>
      <c r="Z233" s="41"/>
    </row>
    <row r="234" spans="1:26" ht="12.75" customHeight="1" x14ac:dyDescent="0.35">
      <c r="A234" s="93" t="s">
        <v>360</v>
      </c>
      <c r="B234" s="74">
        <v>1300000</v>
      </c>
      <c r="C234" s="41"/>
      <c r="D234" s="41">
        <f t="shared" si="3"/>
        <v>54.166666666666664</v>
      </c>
      <c r="E234" s="49">
        <f t="shared" si="4"/>
        <v>59.583333333333329</v>
      </c>
      <c r="F234" s="58"/>
      <c r="G234" s="49"/>
      <c r="H234" s="41"/>
      <c r="I234" s="41"/>
      <c r="J234" s="41"/>
      <c r="K234" s="41"/>
      <c r="L234" s="41"/>
      <c r="M234" s="41"/>
      <c r="N234" s="41"/>
      <c r="O234" s="41"/>
      <c r="P234" s="41"/>
      <c r="Q234" s="41"/>
      <c r="R234" s="41"/>
      <c r="S234" s="41"/>
      <c r="T234" s="41"/>
      <c r="U234" s="41"/>
      <c r="V234" s="41"/>
      <c r="W234" s="41"/>
      <c r="X234" s="41"/>
      <c r="Y234" s="41"/>
      <c r="Z234" s="41"/>
    </row>
    <row r="235" spans="1:26" ht="12.75" customHeight="1" x14ac:dyDescent="0.35">
      <c r="A235" s="92" t="s">
        <v>362</v>
      </c>
      <c r="B235" s="77">
        <v>720000</v>
      </c>
      <c r="C235" s="41"/>
      <c r="D235" s="41">
        <f t="shared" si="3"/>
        <v>30</v>
      </c>
      <c r="E235" s="49">
        <f t="shared" si="4"/>
        <v>33</v>
      </c>
      <c r="F235" s="77"/>
      <c r="G235" s="49"/>
      <c r="H235" s="41"/>
      <c r="I235" s="41"/>
      <c r="J235" s="41"/>
      <c r="K235" s="41"/>
      <c r="L235" s="41"/>
      <c r="M235" s="41"/>
      <c r="N235" s="41"/>
      <c r="O235" s="41"/>
      <c r="P235" s="41"/>
      <c r="Q235" s="41"/>
      <c r="R235" s="41"/>
      <c r="S235" s="41"/>
      <c r="T235" s="41"/>
      <c r="U235" s="41"/>
      <c r="V235" s="41"/>
      <c r="W235" s="41"/>
      <c r="X235" s="41"/>
      <c r="Y235" s="41"/>
      <c r="Z235" s="41"/>
    </row>
    <row r="236" spans="1:26" ht="12.75" customHeight="1" x14ac:dyDescent="0.35">
      <c r="A236" s="92" t="s">
        <v>364</v>
      </c>
      <c r="B236" s="77">
        <v>780000</v>
      </c>
      <c r="C236" s="41"/>
      <c r="D236" s="41">
        <f t="shared" si="3"/>
        <v>32.5</v>
      </c>
      <c r="E236" s="49">
        <f t="shared" si="4"/>
        <v>35.75</v>
      </c>
      <c r="F236" s="99"/>
      <c r="G236" s="49"/>
      <c r="H236" s="41"/>
      <c r="I236" s="41"/>
      <c r="J236" s="41"/>
      <c r="K236" s="41"/>
      <c r="L236" s="41"/>
      <c r="M236" s="41"/>
      <c r="N236" s="41"/>
      <c r="O236" s="41"/>
      <c r="P236" s="41"/>
      <c r="Q236" s="41"/>
      <c r="R236" s="41"/>
      <c r="S236" s="41"/>
      <c r="T236" s="41"/>
      <c r="U236" s="41"/>
      <c r="V236" s="41"/>
      <c r="W236" s="41"/>
      <c r="X236" s="41"/>
      <c r="Y236" s="41"/>
      <c r="Z236" s="41"/>
    </row>
    <row r="237" spans="1:26" ht="12.75" customHeight="1" x14ac:dyDescent="0.35">
      <c r="A237" s="58"/>
      <c r="B237" s="58"/>
      <c r="C237" s="41"/>
      <c r="D237" s="41">
        <f t="shared" si="3"/>
        <v>0</v>
      </c>
      <c r="E237" s="49">
        <f t="shared" si="4"/>
        <v>0</v>
      </c>
      <c r="F237" s="99"/>
      <c r="G237" s="49"/>
      <c r="H237" s="41"/>
      <c r="I237" s="41"/>
      <c r="J237" s="41"/>
      <c r="K237" s="41"/>
      <c r="L237" s="41"/>
      <c r="M237" s="41"/>
      <c r="N237" s="41"/>
      <c r="O237" s="41"/>
      <c r="P237" s="41"/>
      <c r="Q237" s="41"/>
      <c r="R237" s="41"/>
      <c r="S237" s="41"/>
      <c r="T237" s="41"/>
      <c r="U237" s="41"/>
      <c r="V237" s="41"/>
      <c r="W237" s="41"/>
      <c r="X237" s="41"/>
      <c r="Y237" s="41"/>
      <c r="Z237" s="41"/>
    </row>
    <row r="238" spans="1:26" ht="12.75" customHeight="1" x14ac:dyDescent="0.35">
      <c r="A238" s="58"/>
      <c r="B238" s="58"/>
      <c r="C238" s="41"/>
      <c r="D238" s="41">
        <f t="shared" si="3"/>
        <v>0</v>
      </c>
      <c r="E238" s="49">
        <f t="shared" si="4"/>
        <v>0</v>
      </c>
      <c r="F238" s="92"/>
      <c r="G238" s="49"/>
      <c r="H238" s="41"/>
      <c r="I238" s="41"/>
      <c r="J238" s="41"/>
      <c r="K238" s="41"/>
      <c r="L238" s="41"/>
      <c r="M238" s="41"/>
      <c r="N238" s="41"/>
      <c r="O238" s="41"/>
      <c r="P238" s="41"/>
      <c r="Q238" s="41"/>
      <c r="R238" s="41"/>
      <c r="S238" s="41"/>
      <c r="T238" s="41"/>
      <c r="U238" s="41"/>
      <c r="V238" s="41"/>
      <c r="W238" s="41"/>
      <c r="X238" s="41"/>
      <c r="Y238" s="41"/>
      <c r="Z238" s="41"/>
    </row>
    <row r="239" spans="1:26" ht="12.75" customHeight="1" x14ac:dyDescent="0.35">
      <c r="A239" s="77" t="s">
        <v>330</v>
      </c>
      <c r="B239" s="58"/>
      <c r="C239" s="41"/>
      <c r="D239" s="41">
        <f t="shared" si="3"/>
        <v>0</v>
      </c>
      <c r="E239" s="49">
        <f t="shared" si="4"/>
        <v>0</v>
      </c>
      <c r="F239" s="63"/>
      <c r="G239" s="49"/>
      <c r="H239" s="41"/>
      <c r="I239" s="41"/>
      <c r="J239" s="41"/>
      <c r="K239" s="41"/>
      <c r="L239" s="41"/>
      <c r="M239" s="41"/>
      <c r="N239" s="41"/>
      <c r="O239" s="41"/>
      <c r="P239" s="41"/>
      <c r="Q239" s="41"/>
      <c r="R239" s="41"/>
      <c r="S239" s="41"/>
      <c r="T239" s="41"/>
      <c r="U239" s="41"/>
      <c r="V239" s="41"/>
      <c r="W239" s="41"/>
      <c r="X239" s="41"/>
      <c r="Y239" s="41"/>
      <c r="Z239" s="41"/>
    </row>
    <row r="240" spans="1:26" ht="12.75" customHeight="1" x14ac:dyDescent="0.35">
      <c r="A240" s="99" t="s">
        <v>390</v>
      </c>
      <c r="B240" s="77">
        <v>500000</v>
      </c>
      <c r="C240" s="41"/>
      <c r="D240" s="41">
        <f t="shared" si="3"/>
        <v>20.833333333333332</v>
      </c>
      <c r="E240" s="49">
        <f t="shared" si="4"/>
        <v>22.916666666666664</v>
      </c>
      <c r="F240" s="99"/>
      <c r="G240" s="49"/>
      <c r="H240" s="41"/>
      <c r="I240" s="41"/>
      <c r="J240" s="41"/>
      <c r="K240" s="41"/>
      <c r="L240" s="41"/>
      <c r="M240" s="41"/>
      <c r="N240" s="41"/>
      <c r="O240" s="41"/>
      <c r="P240" s="41"/>
      <c r="Q240" s="41"/>
      <c r="R240" s="41"/>
      <c r="S240" s="41"/>
      <c r="T240" s="41"/>
      <c r="U240" s="41"/>
      <c r="V240" s="41"/>
      <c r="W240" s="41"/>
      <c r="X240" s="41"/>
      <c r="Y240" s="41"/>
      <c r="Z240" s="41"/>
    </row>
    <row r="241" spans="1:26" ht="12.75" customHeight="1" x14ac:dyDescent="0.35">
      <c r="A241" s="99" t="s">
        <v>392</v>
      </c>
      <c r="B241" s="77">
        <v>600000</v>
      </c>
      <c r="C241" s="41"/>
      <c r="D241" s="41">
        <f t="shared" si="3"/>
        <v>25</v>
      </c>
      <c r="E241" s="49">
        <f t="shared" si="4"/>
        <v>27.5</v>
      </c>
      <c r="F241" s="99"/>
      <c r="G241" s="49"/>
      <c r="H241" s="41"/>
      <c r="I241" s="41"/>
      <c r="J241" s="41"/>
      <c r="K241" s="41"/>
      <c r="L241" s="41"/>
      <c r="M241" s="41"/>
      <c r="N241" s="41"/>
      <c r="O241" s="41"/>
      <c r="P241" s="41"/>
      <c r="Q241" s="41"/>
      <c r="R241" s="41"/>
      <c r="S241" s="41"/>
      <c r="T241" s="41"/>
      <c r="U241" s="41"/>
      <c r="V241" s="41"/>
      <c r="W241" s="41"/>
      <c r="X241" s="41"/>
      <c r="Y241" s="41"/>
      <c r="Z241" s="41"/>
    </row>
    <row r="242" spans="1:26" ht="12.75" customHeight="1" x14ac:dyDescent="0.35">
      <c r="A242" s="92" t="s">
        <v>394</v>
      </c>
      <c r="B242" s="107">
        <v>5472000</v>
      </c>
      <c r="C242" s="41"/>
      <c r="D242" s="41">
        <f t="shared" si="3"/>
        <v>228</v>
      </c>
      <c r="E242" s="49">
        <f t="shared" si="4"/>
        <v>250.8</v>
      </c>
      <c r="F242" s="99"/>
      <c r="G242" s="49"/>
      <c r="H242" s="41"/>
      <c r="I242" s="41"/>
      <c r="J242" s="41"/>
      <c r="K242" s="41"/>
      <c r="L242" s="41"/>
      <c r="M242" s="41"/>
      <c r="N242" s="41"/>
      <c r="O242" s="41"/>
      <c r="P242" s="41"/>
      <c r="Q242" s="41"/>
      <c r="R242" s="41"/>
      <c r="S242" s="41"/>
      <c r="T242" s="41"/>
      <c r="U242" s="41"/>
      <c r="V242" s="41"/>
      <c r="W242" s="41"/>
      <c r="X242" s="41"/>
      <c r="Y242" s="41"/>
      <c r="Z242" s="41"/>
    </row>
    <row r="243" spans="1:26" ht="12.75" customHeight="1" x14ac:dyDescent="0.35">
      <c r="A243" s="63" t="s">
        <v>396</v>
      </c>
      <c r="B243" s="98">
        <v>6528000</v>
      </c>
      <c r="C243" s="41"/>
      <c r="D243" s="41">
        <f t="shared" si="3"/>
        <v>272</v>
      </c>
      <c r="E243" s="49">
        <f t="shared" si="4"/>
        <v>299.2</v>
      </c>
      <c r="F243" s="99"/>
      <c r="G243" s="49"/>
      <c r="H243" s="41"/>
      <c r="I243" s="41"/>
      <c r="J243" s="41"/>
      <c r="K243" s="41"/>
      <c r="L243" s="41"/>
      <c r="M243" s="41"/>
      <c r="N243" s="41"/>
      <c r="O243" s="41"/>
      <c r="P243" s="41"/>
      <c r="Q243" s="41"/>
      <c r="R243" s="41"/>
      <c r="S243" s="41"/>
      <c r="T243" s="41"/>
      <c r="U243" s="41"/>
      <c r="V243" s="41"/>
      <c r="W243" s="41"/>
      <c r="X243" s="41"/>
      <c r="Y243" s="41"/>
      <c r="Z243" s="41"/>
    </row>
    <row r="244" spans="1:26" ht="12.75" customHeight="1" x14ac:dyDescent="0.35">
      <c r="A244" s="99" t="s">
        <v>398</v>
      </c>
      <c r="B244" s="98">
        <v>3100000</v>
      </c>
      <c r="C244" s="41"/>
      <c r="D244" s="41">
        <f t="shared" si="3"/>
        <v>129.16666666666666</v>
      </c>
      <c r="E244" s="49">
        <f t="shared" si="4"/>
        <v>142.08333333333331</v>
      </c>
      <c r="F244" s="99"/>
      <c r="G244" s="49"/>
      <c r="H244" s="41"/>
      <c r="I244" s="41"/>
      <c r="J244" s="41"/>
      <c r="K244" s="41"/>
      <c r="L244" s="41"/>
      <c r="M244" s="41"/>
      <c r="N244" s="41"/>
      <c r="O244" s="41"/>
      <c r="P244" s="41"/>
      <c r="Q244" s="41"/>
      <c r="R244" s="41"/>
      <c r="S244" s="41"/>
      <c r="T244" s="41"/>
      <c r="U244" s="41"/>
      <c r="V244" s="41"/>
      <c r="W244" s="41"/>
      <c r="X244" s="41"/>
      <c r="Y244" s="41"/>
      <c r="Z244" s="41"/>
    </row>
    <row r="245" spans="1:26" ht="12.75" customHeight="1" x14ac:dyDescent="0.35">
      <c r="A245" s="99" t="s">
        <v>400</v>
      </c>
      <c r="B245" s="98">
        <v>4300000</v>
      </c>
      <c r="C245" s="41"/>
      <c r="D245" s="41">
        <f t="shared" si="3"/>
        <v>179.16666666666666</v>
      </c>
      <c r="E245" s="49">
        <f t="shared" si="4"/>
        <v>197.08333333333331</v>
      </c>
      <c r="F245" s="99"/>
      <c r="G245" s="49"/>
      <c r="H245" s="41"/>
      <c r="I245" s="41"/>
      <c r="J245" s="41"/>
      <c r="K245" s="41"/>
      <c r="L245" s="41"/>
      <c r="M245" s="41"/>
      <c r="N245" s="41"/>
      <c r="O245" s="41"/>
      <c r="P245" s="41"/>
      <c r="Q245" s="41"/>
      <c r="R245" s="41"/>
      <c r="S245" s="41"/>
      <c r="T245" s="41"/>
      <c r="U245" s="41"/>
      <c r="V245" s="41"/>
      <c r="W245" s="41"/>
      <c r="X245" s="41"/>
      <c r="Y245" s="41"/>
      <c r="Z245" s="41"/>
    </row>
    <row r="246" spans="1:26" ht="12.75" customHeight="1" x14ac:dyDescent="0.35">
      <c r="A246" s="99" t="s">
        <v>402</v>
      </c>
      <c r="B246" s="77">
        <v>1050000</v>
      </c>
      <c r="C246" s="41"/>
      <c r="D246" s="41">
        <f t="shared" si="3"/>
        <v>43.75</v>
      </c>
      <c r="E246" s="49">
        <f t="shared" si="4"/>
        <v>48.125</v>
      </c>
      <c r="F246" s="58"/>
      <c r="G246" s="49"/>
      <c r="H246" s="41"/>
      <c r="I246" s="41"/>
      <c r="J246" s="41"/>
      <c r="K246" s="41"/>
      <c r="L246" s="41"/>
      <c r="M246" s="41"/>
      <c r="N246" s="41"/>
      <c r="O246" s="41"/>
      <c r="P246" s="41"/>
      <c r="Q246" s="41"/>
      <c r="R246" s="41"/>
      <c r="S246" s="41"/>
      <c r="T246" s="41"/>
      <c r="U246" s="41"/>
      <c r="V246" s="41"/>
      <c r="W246" s="41"/>
      <c r="X246" s="41"/>
      <c r="Y246" s="41"/>
      <c r="Z246" s="41"/>
    </row>
    <row r="247" spans="1:26" ht="12.75" customHeight="1" x14ac:dyDescent="0.35">
      <c r="A247" s="99" t="s">
        <v>404</v>
      </c>
      <c r="B247" s="77">
        <v>1650000</v>
      </c>
      <c r="C247" s="41"/>
      <c r="D247" s="41">
        <f t="shared" si="3"/>
        <v>68.75</v>
      </c>
      <c r="E247" s="49">
        <f t="shared" si="4"/>
        <v>75.625</v>
      </c>
      <c r="F247" s="58"/>
      <c r="G247" s="49"/>
      <c r="H247" s="41"/>
      <c r="I247" s="41"/>
      <c r="J247" s="41"/>
      <c r="K247" s="41"/>
      <c r="L247" s="41"/>
      <c r="M247" s="41"/>
      <c r="N247" s="41"/>
      <c r="O247" s="41"/>
      <c r="P247" s="41"/>
      <c r="Q247" s="41"/>
      <c r="R247" s="41"/>
      <c r="S247" s="41"/>
      <c r="T247" s="41"/>
      <c r="U247" s="41"/>
      <c r="V247" s="41"/>
      <c r="W247" s="41"/>
      <c r="X247" s="41"/>
      <c r="Y247" s="41"/>
      <c r="Z247" s="41"/>
    </row>
    <row r="248" spans="1:26" ht="12.75" customHeight="1" x14ac:dyDescent="0.35">
      <c r="A248" s="99" t="s">
        <v>406</v>
      </c>
      <c r="B248" s="77">
        <v>3500000</v>
      </c>
      <c r="C248" s="41"/>
      <c r="D248" s="41">
        <f t="shared" si="3"/>
        <v>145.83333333333334</v>
      </c>
      <c r="E248" s="49">
        <f t="shared" si="4"/>
        <v>160.41666666666669</v>
      </c>
      <c r="F248" s="58"/>
      <c r="G248" s="49"/>
      <c r="H248" s="41"/>
      <c r="I248" s="41"/>
      <c r="J248" s="41"/>
      <c r="K248" s="41"/>
      <c r="L248" s="41"/>
      <c r="M248" s="41"/>
      <c r="N248" s="41"/>
      <c r="O248" s="41"/>
      <c r="P248" s="41"/>
      <c r="Q248" s="41"/>
      <c r="R248" s="41"/>
      <c r="S248" s="41"/>
      <c r="T248" s="41"/>
      <c r="U248" s="41"/>
      <c r="V248" s="41"/>
      <c r="W248" s="41"/>
      <c r="X248" s="41"/>
      <c r="Y248" s="41"/>
      <c r="Z248" s="41"/>
    </row>
    <row r="249" spans="1:26" ht="12.75" customHeight="1" x14ac:dyDescent="0.35">
      <c r="A249" s="99" t="s">
        <v>408</v>
      </c>
      <c r="B249" s="77">
        <v>3800000</v>
      </c>
      <c r="C249" s="41"/>
      <c r="D249" s="41">
        <f t="shared" si="3"/>
        <v>158.33333333333334</v>
      </c>
      <c r="E249" s="49">
        <f t="shared" si="4"/>
        <v>174.16666666666669</v>
      </c>
      <c r="F249" s="77"/>
      <c r="G249" s="49"/>
      <c r="H249" s="41"/>
      <c r="I249" s="41"/>
      <c r="J249" s="41"/>
      <c r="K249" s="41"/>
      <c r="L249" s="41"/>
      <c r="M249" s="41"/>
      <c r="N249" s="41"/>
      <c r="O249" s="41"/>
      <c r="P249" s="41"/>
      <c r="Q249" s="41"/>
      <c r="R249" s="41"/>
      <c r="S249" s="41"/>
      <c r="T249" s="41"/>
      <c r="U249" s="41"/>
      <c r="V249" s="41"/>
      <c r="W249" s="41"/>
      <c r="X249" s="41"/>
      <c r="Y249" s="41"/>
      <c r="Z249" s="41"/>
    </row>
    <row r="250" spans="1:26" ht="12.75" customHeight="1" x14ac:dyDescent="0.35">
      <c r="A250" s="58"/>
      <c r="B250" s="58"/>
      <c r="C250" s="41"/>
      <c r="D250" s="41">
        <f t="shared" si="3"/>
        <v>0</v>
      </c>
      <c r="E250" s="49">
        <f t="shared" si="4"/>
        <v>0</v>
      </c>
      <c r="F250" s="92"/>
      <c r="G250" s="49"/>
      <c r="H250" s="41"/>
      <c r="I250" s="41"/>
      <c r="J250" s="41"/>
      <c r="K250" s="41"/>
      <c r="L250" s="41"/>
      <c r="M250" s="41"/>
      <c r="N250" s="41"/>
      <c r="O250" s="41"/>
      <c r="P250" s="41"/>
      <c r="Q250" s="41"/>
      <c r="R250" s="41"/>
      <c r="S250" s="41"/>
      <c r="T250" s="41"/>
      <c r="U250" s="41"/>
      <c r="V250" s="41"/>
      <c r="W250" s="41"/>
      <c r="X250" s="41"/>
      <c r="Y250" s="41"/>
      <c r="Z250" s="41"/>
    </row>
    <row r="251" spans="1:26" ht="12.75" customHeight="1" x14ac:dyDescent="0.35">
      <c r="A251" s="58"/>
      <c r="B251" s="58"/>
      <c r="C251" s="41"/>
      <c r="D251" s="41">
        <f t="shared" si="3"/>
        <v>0</v>
      </c>
      <c r="E251" s="49">
        <f t="shared" si="4"/>
        <v>0</v>
      </c>
      <c r="F251" s="92"/>
      <c r="G251" s="49"/>
      <c r="H251" s="41"/>
      <c r="I251" s="41"/>
      <c r="J251" s="41"/>
      <c r="K251" s="41"/>
      <c r="L251" s="41"/>
      <c r="M251" s="41"/>
      <c r="N251" s="41"/>
      <c r="O251" s="41"/>
      <c r="P251" s="41"/>
      <c r="Q251" s="41"/>
      <c r="R251" s="41"/>
      <c r="S251" s="41"/>
      <c r="T251" s="41"/>
      <c r="U251" s="41"/>
      <c r="V251" s="41"/>
      <c r="W251" s="41"/>
      <c r="X251" s="41"/>
      <c r="Y251" s="41"/>
      <c r="Z251" s="41"/>
    </row>
    <row r="252" spans="1:26" ht="12.75" customHeight="1" x14ac:dyDescent="0.35">
      <c r="A252" s="58"/>
      <c r="B252" s="58"/>
      <c r="C252" s="41"/>
      <c r="D252" s="41">
        <f t="shared" si="3"/>
        <v>0</v>
      </c>
      <c r="E252" s="49">
        <f t="shared" si="4"/>
        <v>0</v>
      </c>
      <c r="F252" s="92"/>
      <c r="G252" s="49"/>
      <c r="H252" s="41"/>
      <c r="I252" s="41"/>
      <c r="J252" s="41"/>
      <c r="K252" s="41"/>
      <c r="L252" s="41"/>
      <c r="M252" s="41"/>
      <c r="N252" s="41"/>
      <c r="O252" s="41"/>
      <c r="P252" s="41"/>
      <c r="Q252" s="41"/>
      <c r="R252" s="41"/>
      <c r="S252" s="41"/>
      <c r="T252" s="41"/>
      <c r="U252" s="41"/>
      <c r="V252" s="41"/>
      <c r="W252" s="41"/>
      <c r="X252" s="41"/>
      <c r="Y252" s="41"/>
      <c r="Z252" s="41"/>
    </row>
    <row r="253" spans="1:26" ht="12.75" customHeight="1" x14ac:dyDescent="0.35">
      <c r="A253" s="77" t="s">
        <v>176</v>
      </c>
      <c r="B253" s="58"/>
      <c r="C253" s="41"/>
      <c r="D253" s="41">
        <f t="shared" si="3"/>
        <v>0</v>
      </c>
      <c r="E253" s="49">
        <f t="shared" si="4"/>
        <v>0</v>
      </c>
      <c r="F253" s="92"/>
      <c r="G253" s="49"/>
      <c r="H253" s="41"/>
      <c r="I253" s="41"/>
      <c r="J253" s="41"/>
      <c r="K253" s="41"/>
      <c r="L253" s="41"/>
      <c r="M253" s="41"/>
      <c r="N253" s="41"/>
      <c r="O253" s="41"/>
      <c r="P253" s="41"/>
      <c r="Q253" s="41"/>
      <c r="R253" s="41"/>
      <c r="S253" s="41"/>
      <c r="T253" s="41"/>
      <c r="U253" s="41"/>
      <c r="V253" s="41"/>
      <c r="W253" s="41"/>
      <c r="X253" s="41"/>
      <c r="Y253" s="41"/>
      <c r="Z253" s="41"/>
    </row>
    <row r="254" spans="1:26" ht="12.75" customHeight="1" x14ac:dyDescent="0.35">
      <c r="A254" s="92" t="s">
        <v>389</v>
      </c>
      <c r="B254" s="71">
        <v>1750000</v>
      </c>
      <c r="C254" s="41"/>
      <c r="D254" s="41">
        <f t="shared" si="3"/>
        <v>72.916666666666671</v>
      </c>
      <c r="E254" s="49">
        <f t="shared" si="4"/>
        <v>80.208333333333343</v>
      </c>
      <c r="F254" s="92"/>
      <c r="G254" s="49"/>
      <c r="H254" s="41"/>
      <c r="I254" s="41"/>
      <c r="J254" s="41"/>
      <c r="K254" s="41"/>
      <c r="L254" s="41"/>
      <c r="M254" s="41"/>
      <c r="N254" s="41"/>
      <c r="O254" s="41"/>
      <c r="P254" s="41"/>
      <c r="Q254" s="41"/>
      <c r="R254" s="41"/>
      <c r="S254" s="41"/>
      <c r="T254" s="41"/>
      <c r="U254" s="41"/>
      <c r="V254" s="41"/>
      <c r="W254" s="41"/>
      <c r="X254" s="41"/>
      <c r="Y254" s="41"/>
      <c r="Z254" s="41"/>
    </row>
    <row r="255" spans="1:26" ht="12.75" customHeight="1" x14ac:dyDescent="0.35">
      <c r="A255" s="92" t="s">
        <v>391</v>
      </c>
      <c r="B255" s="98">
        <v>1950000</v>
      </c>
      <c r="C255" s="41"/>
      <c r="D255" s="41">
        <f t="shared" si="3"/>
        <v>81.25</v>
      </c>
      <c r="E255" s="49">
        <f t="shared" si="4"/>
        <v>89.375</v>
      </c>
      <c r="F255" s="92"/>
      <c r="G255" s="49"/>
      <c r="H255" s="41"/>
      <c r="I255" s="41"/>
      <c r="J255" s="41"/>
      <c r="K255" s="41"/>
      <c r="L255" s="41"/>
      <c r="M255" s="41"/>
      <c r="N255" s="41"/>
      <c r="O255" s="41"/>
      <c r="P255" s="41"/>
      <c r="Q255" s="41"/>
      <c r="R255" s="41"/>
      <c r="S255" s="41"/>
      <c r="T255" s="41"/>
      <c r="U255" s="41"/>
      <c r="V255" s="41"/>
      <c r="W255" s="41"/>
      <c r="X255" s="41"/>
      <c r="Y255" s="41"/>
      <c r="Z255" s="41"/>
    </row>
    <row r="256" spans="1:26" ht="12.75" customHeight="1" x14ac:dyDescent="0.35">
      <c r="A256" s="92" t="s">
        <v>393</v>
      </c>
      <c r="B256" s="98">
        <v>1450000</v>
      </c>
      <c r="C256" s="41"/>
      <c r="D256" s="41">
        <f t="shared" si="3"/>
        <v>60.416666666666664</v>
      </c>
      <c r="E256" s="49">
        <f t="shared" si="4"/>
        <v>66.458333333333329</v>
      </c>
      <c r="F256" s="92"/>
      <c r="G256" s="49"/>
      <c r="H256" s="41"/>
      <c r="I256" s="41"/>
      <c r="J256" s="41"/>
      <c r="K256" s="41"/>
      <c r="L256" s="41"/>
      <c r="M256" s="41"/>
      <c r="N256" s="41"/>
      <c r="O256" s="41"/>
      <c r="P256" s="41"/>
      <c r="Q256" s="41"/>
      <c r="R256" s="41"/>
      <c r="S256" s="41"/>
      <c r="T256" s="41"/>
      <c r="U256" s="41"/>
      <c r="V256" s="41"/>
      <c r="W256" s="41"/>
      <c r="X256" s="41"/>
      <c r="Y256" s="41"/>
      <c r="Z256" s="41"/>
    </row>
    <row r="257" spans="1:26" ht="12.75" customHeight="1" x14ac:dyDescent="0.35">
      <c r="A257" s="92" t="s">
        <v>395</v>
      </c>
      <c r="B257" s="98">
        <v>1450000</v>
      </c>
      <c r="C257" s="41"/>
      <c r="D257" s="41">
        <f t="shared" si="3"/>
        <v>60.416666666666664</v>
      </c>
      <c r="E257" s="49">
        <f t="shared" si="4"/>
        <v>66.458333333333329</v>
      </c>
      <c r="F257" s="92"/>
      <c r="G257" s="49"/>
      <c r="H257" s="41"/>
      <c r="I257" s="41"/>
      <c r="J257" s="41"/>
      <c r="K257" s="41"/>
      <c r="L257" s="41"/>
      <c r="M257" s="41"/>
      <c r="N257" s="41"/>
      <c r="O257" s="41"/>
      <c r="P257" s="41"/>
      <c r="Q257" s="41"/>
      <c r="R257" s="41"/>
      <c r="S257" s="41"/>
      <c r="T257" s="41"/>
      <c r="U257" s="41"/>
      <c r="V257" s="41"/>
      <c r="W257" s="41"/>
      <c r="X257" s="41"/>
      <c r="Y257" s="41"/>
      <c r="Z257" s="41"/>
    </row>
    <row r="258" spans="1:26" ht="12.75" customHeight="1" x14ac:dyDescent="0.35">
      <c r="A258" s="92" t="s">
        <v>397</v>
      </c>
      <c r="B258" s="98">
        <v>2850000</v>
      </c>
      <c r="C258" s="41"/>
      <c r="D258" s="41">
        <f t="shared" si="3"/>
        <v>118.75</v>
      </c>
      <c r="E258" s="49">
        <f t="shared" si="4"/>
        <v>130.625</v>
      </c>
      <c r="F258" s="92"/>
      <c r="G258" s="49"/>
      <c r="H258" s="41"/>
      <c r="I258" s="41"/>
      <c r="J258" s="41"/>
      <c r="K258" s="41"/>
      <c r="L258" s="41"/>
      <c r="M258" s="41"/>
      <c r="N258" s="41"/>
      <c r="O258" s="41"/>
      <c r="P258" s="41"/>
      <c r="Q258" s="41"/>
      <c r="R258" s="41"/>
      <c r="S258" s="41"/>
      <c r="T258" s="41"/>
      <c r="U258" s="41"/>
      <c r="V258" s="41"/>
      <c r="W258" s="41"/>
      <c r="X258" s="41"/>
      <c r="Y258" s="41"/>
      <c r="Z258" s="41"/>
    </row>
    <row r="259" spans="1:26" ht="12.75" customHeight="1" x14ac:dyDescent="0.35">
      <c r="A259" s="92" t="s">
        <v>399</v>
      </c>
      <c r="B259" s="98">
        <v>3480000</v>
      </c>
      <c r="C259" s="41"/>
      <c r="D259" s="41">
        <f t="shared" si="3"/>
        <v>145</v>
      </c>
      <c r="E259" s="49">
        <f t="shared" si="4"/>
        <v>159.5</v>
      </c>
      <c r="F259" s="92"/>
      <c r="G259" s="49"/>
      <c r="H259" s="41"/>
      <c r="I259" s="41"/>
      <c r="J259" s="41"/>
      <c r="K259" s="41"/>
      <c r="L259" s="41"/>
      <c r="M259" s="41"/>
      <c r="N259" s="41"/>
      <c r="O259" s="41"/>
      <c r="P259" s="41"/>
      <c r="Q259" s="41"/>
      <c r="R259" s="41"/>
      <c r="S259" s="41"/>
      <c r="T259" s="41"/>
      <c r="U259" s="41"/>
      <c r="V259" s="41"/>
      <c r="W259" s="41"/>
      <c r="X259" s="41"/>
      <c r="Y259" s="41"/>
      <c r="Z259" s="41"/>
    </row>
    <row r="260" spans="1:26" ht="12.75" customHeight="1" x14ac:dyDescent="0.35">
      <c r="A260" s="92" t="s">
        <v>401</v>
      </c>
      <c r="B260" s="98">
        <v>4600000</v>
      </c>
      <c r="C260" s="41"/>
      <c r="D260" s="41">
        <f t="shared" ref="D260:D298" si="23">(B260/24000)</f>
        <v>191.66666666666666</v>
      </c>
      <c r="E260" s="49">
        <f t="shared" ref="E260:E298" si="24">D260+D260*10%</f>
        <v>210.83333333333331</v>
      </c>
      <c r="F260" s="41"/>
      <c r="G260" s="49"/>
      <c r="H260" s="41"/>
      <c r="I260" s="41"/>
      <c r="J260" s="41"/>
      <c r="K260" s="41"/>
      <c r="L260" s="41"/>
      <c r="M260" s="41"/>
      <c r="N260" s="41"/>
      <c r="O260" s="41"/>
      <c r="P260" s="41"/>
      <c r="Q260" s="41"/>
      <c r="R260" s="41"/>
      <c r="S260" s="41"/>
      <c r="T260" s="41"/>
      <c r="U260" s="41"/>
      <c r="V260" s="41"/>
      <c r="W260" s="41"/>
      <c r="X260" s="41"/>
      <c r="Y260" s="41"/>
      <c r="Z260" s="41"/>
    </row>
    <row r="261" spans="1:26" ht="12.75" customHeight="1" x14ac:dyDescent="0.35">
      <c r="A261" s="92" t="s">
        <v>403</v>
      </c>
      <c r="B261" s="98">
        <v>5350000</v>
      </c>
      <c r="C261" s="41"/>
      <c r="D261" s="41">
        <f t="shared" si="23"/>
        <v>222.91666666666666</v>
      </c>
      <c r="E261" s="49">
        <f t="shared" si="24"/>
        <v>245.20833333333331</v>
      </c>
      <c r="F261" s="94"/>
      <c r="G261" s="49"/>
      <c r="H261" s="41"/>
      <c r="I261" s="41"/>
      <c r="J261" s="41"/>
      <c r="K261" s="41"/>
      <c r="L261" s="41"/>
      <c r="M261" s="41"/>
      <c r="N261" s="41"/>
      <c r="O261" s="41"/>
      <c r="P261" s="41"/>
      <c r="Q261" s="41"/>
      <c r="R261" s="41"/>
      <c r="S261" s="41"/>
      <c r="T261" s="41"/>
      <c r="U261" s="41"/>
      <c r="V261" s="41"/>
      <c r="W261" s="41"/>
      <c r="X261" s="41"/>
      <c r="Y261" s="41"/>
      <c r="Z261" s="41"/>
    </row>
    <row r="262" spans="1:26" ht="12.75" customHeight="1" x14ac:dyDescent="0.35">
      <c r="A262" s="92" t="s">
        <v>405</v>
      </c>
      <c r="B262" s="98">
        <v>2590000</v>
      </c>
      <c r="C262" s="41"/>
      <c r="D262" s="41">
        <f t="shared" si="23"/>
        <v>107.91666666666667</v>
      </c>
      <c r="E262" s="49">
        <f t="shared" si="24"/>
        <v>118.70833333333334</v>
      </c>
      <c r="F262" s="77"/>
      <c r="G262" s="49"/>
      <c r="H262" s="41"/>
      <c r="I262" s="41"/>
      <c r="J262" s="41"/>
      <c r="K262" s="41"/>
      <c r="L262" s="41"/>
      <c r="M262" s="41"/>
      <c r="N262" s="41"/>
      <c r="O262" s="41"/>
      <c r="P262" s="41"/>
      <c r="Q262" s="41"/>
      <c r="R262" s="41"/>
      <c r="S262" s="41"/>
      <c r="T262" s="41"/>
      <c r="U262" s="41"/>
      <c r="V262" s="41"/>
      <c r="W262" s="41"/>
      <c r="X262" s="41"/>
      <c r="Y262" s="41"/>
      <c r="Z262" s="41"/>
    </row>
    <row r="263" spans="1:26" ht="12.75" customHeight="1" x14ac:dyDescent="0.35">
      <c r="A263" s="92" t="s">
        <v>407</v>
      </c>
      <c r="B263" s="98">
        <v>2990000</v>
      </c>
      <c r="C263" s="41"/>
      <c r="D263" s="41">
        <f t="shared" si="23"/>
        <v>124.58333333333333</v>
      </c>
      <c r="E263" s="49">
        <f t="shared" si="24"/>
        <v>137.04166666666666</v>
      </c>
      <c r="F263" s="99"/>
      <c r="G263" s="49"/>
      <c r="H263" s="41"/>
      <c r="I263" s="41"/>
      <c r="J263" s="41"/>
      <c r="K263" s="41"/>
      <c r="L263" s="41"/>
      <c r="M263" s="41"/>
      <c r="N263" s="41"/>
      <c r="O263" s="41"/>
      <c r="P263" s="41"/>
      <c r="Q263" s="41"/>
      <c r="R263" s="41"/>
      <c r="S263" s="41"/>
      <c r="T263" s="41"/>
      <c r="U263" s="41"/>
      <c r="V263" s="41"/>
      <c r="W263" s="41"/>
      <c r="X263" s="41"/>
      <c r="Y263" s="41"/>
      <c r="Z263" s="41"/>
    </row>
    <row r="264" spans="1:26" ht="12.75" customHeight="1" x14ac:dyDescent="0.35">
      <c r="A264" s="41"/>
      <c r="B264" s="41"/>
      <c r="C264" s="41"/>
      <c r="D264" s="41">
        <f t="shared" si="23"/>
        <v>0</v>
      </c>
      <c r="E264" s="49">
        <f t="shared" si="24"/>
        <v>0</v>
      </c>
      <c r="F264" s="99"/>
      <c r="G264" s="49"/>
      <c r="H264" s="41"/>
      <c r="I264" s="41"/>
      <c r="J264" s="41"/>
      <c r="K264" s="41"/>
      <c r="L264" s="41"/>
      <c r="M264" s="41"/>
      <c r="N264" s="41"/>
      <c r="O264" s="41"/>
      <c r="P264" s="41"/>
      <c r="Q264" s="41"/>
      <c r="R264" s="41"/>
      <c r="S264" s="41"/>
      <c r="T264" s="41"/>
      <c r="U264" s="41"/>
      <c r="V264" s="41"/>
      <c r="W264" s="41"/>
      <c r="X264" s="41"/>
      <c r="Y264" s="41"/>
      <c r="Z264" s="41"/>
    </row>
    <row r="265" spans="1:26" ht="12.75" customHeight="1" x14ac:dyDescent="0.35">
      <c r="A265" s="94" t="s">
        <v>368</v>
      </c>
      <c r="B265" s="109" t="s">
        <v>179</v>
      </c>
      <c r="C265" s="41"/>
      <c r="D265" s="41" t="e">
        <f t="shared" si="23"/>
        <v>#VALUE!</v>
      </c>
      <c r="E265" s="49" t="e">
        <f t="shared" si="24"/>
        <v>#VALUE!</v>
      </c>
      <c r="F265" s="92"/>
      <c r="G265" s="49"/>
      <c r="H265" s="41"/>
      <c r="I265" s="41"/>
      <c r="J265" s="41"/>
      <c r="K265" s="41"/>
      <c r="L265" s="41"/>
      <c r="M265" s="41"/>
      <c r="N265" s="41"/>
      <c r="O265" s="41"/>
      <c r="P265" s="41"/>
      <c r="Q265" s="41"/>
      <c r="R265" s="41"/>
      <c r="S265" s="41"/>
      <c r="T265" s="41"/>
      <c r="U265" s="41"/>
      <c r="V265" s="41"/>
      <c r="W265" s="41"/>
      <c r="X265" s="41"/>
      <c r="Y265" s="41"/>
      <c r="Z265" s="41"/>
    </row>
    <row r="266" spans="1:26" ht="12.75" customHeight="1" x14ac:dyDescent="0.35">
      <c r="A266" s="77" t="s">
        <v>176</v>
      </c>
      <c r="B266" s="58"/>
      <c r="C266" s="41"/>
      <c r="D266" s="41">
        <f t="shared" si="23"/>
        <v>0</v>
      </c>
      <c r="E266" s="49">
        <f t="shared" si="24"/>
        <v>0</v>
      </c>
      <c r="F266" s="92"/>
      <c r="G266" s="49"/>
      <c r="H266" s="41"/>
      <c r="I266" s="41"/>
      <c r="J266" s="41"/>
      <c r="K266" s="41"/>
      <c r="L266" s="41"/>
      <c r="M266" s="41"/>
      <c r="N266" s="41"/>
      <c r="O266" s="41"/>
      <c r="P266" s="41"/>
      <c r="Q266" s="41"/>
      <c r="R266" s="41"/>
      <c r="S266" s="41"/>
      <c r="T266" s="41"/>
      <c r="U266" s="41"/>
      <c r="V266" s="41"/>
      <c r="W266" s="41"/>
      <c r="X266" s="41"/>
      <c r="Y266" s="41"/>
      <c r="Z266" s="41"/>
    </row>
    <row r="267" spans="1:26" ht="12.75" customHeight="1" x14ac:dyDescent="0.35">
      <c r="A267" s="99" t="s">
        <v>409</v>
      </c>
      <c r="B267" s="112">
        <v>2350000</v>
      </c>
      <c r="C267" s="41"/>
      <c r="D267" s="41">
        <f t="shared" si="23"/>
        <v>97.916666666666671</v>
      </c>
      <c r="E267" s="49">
        <f t="shared" si="24"/>
        <v>107.70833333333334</v>
      </c>
      <c r="F267" s="92"/>
      <c r="G267" s="49"/>
      <c r="H267" s="41"/>
      <c r="I267" s="41"/>
      <c r="J267" s="41"/>
      <c r="K267" s="41"/>
      <c r="L267" s="41"/>
      <c r="M267" s="41"/>
      <c r="N267" s="41"/>
      <c r="O267" s="41"/>
      <c r="P267" s="41"/>
      <c r="Q267" s="41"/>
      <c r="R267" s="41"/>
      <c r="S267" s="41"/>
      <c r="T267" s="41"/>
      <c r="U267" s="41"/>
      <c r="V267" s="41"/>
      <c r="W267" s="41"/>
      <c r="X267" s="41"/>
      <c r="Y267" s="41"/>
      <c r="Z267" s="41"/>
    </row>
    <row r="268" spans="1:26" ht="12.75" customHeight="1" x14ac:dyDescent="0.35">
      <c r="A268" s="99" t="s">
        <v>411</v>
      </c>
      <c r="B268" s="98">
        <v>2550000</v>
      </c>
      <c r="C268" s="41"/>
      <c r="D268" s="41">
        <f t="shared" si="23"/>
        <v>106.25</v>
      </c>
      <c r="E268" s="49">
        <f t="shared" si="24"/>
        <v>116.875</v>
      </c>
      <c r="F268" s="92"/>
      <c r="G268" s="49"/>
      <c r="H268" s="41"/>
      <c r="I268" s="41"/>
      <c r="J268" s="41"/>
      <c r="K268" s="41"/>
      <c r="L268" s="41"/>
      <c r="M268" s="41"/>
      <c r="N268" s="41"/>
      <c r="O268" s="41"/>
      <c r="P268" s="41"/>
      <c r="Q268" s="41"/>
      <c r="R268" s="41"/>
      <c r="S268" s="41"/>
      <c r="T268" s="41"/>
      <c r="U268" s="41"/>
      <c r="V268" s="41"/>
      <c r="W268" s="41"/>
      <c r="X268" s="41"/>
      <c r="Y268" s="41"/>
      <c r="Z268" s="41"/>
    </row>
    <row r="269" spans="1:26" ht="12.75" customHeight="1" x14ac:dyDescent="0.35">
      <c r="A269" s="99" t="s">
        <v>413</v>
      </c>
      <c r="B269" s="98">
        <v>1780000</v>
      </c>
      <c r="C269" s="41"/>
      <c r="D269" s="41">
        <f t="shared" si="23"/>
        <v>74.166666666666671</v>
      </c>
      <c r="E269" s="49">
        <f t="shared" si="24"/>
        <v>81.583333333333343</v>
      </c>
      <c r="F269" s="92"/>
      <c r="G269" s="49"/>
      <c r="H269" s="41"/>
      <c r="I269" s="41"/>
      <c r="J269" s="41"/>
      <c r="K269" s="41"/>
      <c r="L269" s="41"/>
      <c r="M269" s="41"/>
      <c r="N269" s="41"/>
      <c r="O269" s="41"/>
      <c r="P269" s="41"/>
      <c r="Q269" s="41"/>
      <c r="R269" s="41"/>
      <c r="S269" s="41"/>
      <c r="T269" s="41"/>
      <c r="U269" s="41"/>
      <c r="V269" s="41"/>
      <c r="W269" s="41"/>
      <c r="X269" s="41"/>
      <c r="Y269" s="41"/>
      <c r="Z269" s="41"/>
    </row>
    <row r="270" spans="1:26" ht="12.75" customHeight="1" x14ac:dyDescent="0.35">
      <c r="A270" s="92" t="s">
        <v>415</v>
      </c>
      <c r="B270" s="77">
        <v>1930000</v>
      </c>
      <c r="C270" s="41"/>
      <c r="D270" s="41">
        <f t="shared" si="23"/>
        <v>80.416666666666671</v>
      </c>
      <c r="E270" s="49">
        <f t="shared" si="24"/>
        <v>88.458333333333343</v>
      </c>
      <c r="F270" s="91"/>
      <c r="G270" s="49"/>
      <c r="H270" s="41"/>
      <c r="I270" s="41"/>
      <c r="J270" s="41"/>
      <c r="K270" s="41"/>
      <c r="L270" s="41"/>
      <c r="M270" s="41"/>
      <c r="N270" s="41"/>
      <c r="O270" s="41"/>
      <c r="P270" s="41"/>
      <c r="Q270" s="41"/>
      <c r="R270" s="41"/>
      <c r="S270" s="41"/>
      <c r="T270" s="41"/>
      <c r="U270" s="41"/>
      <c r="V270" s="41"/>
      <c r="W270" s="41"/>
      <c r="X270" s="41"/>
      <c r="Y270" s="41"/>
      <c r="Z270" s="41"/>
    </row>
    <row r="271" spans="1:26" ht="12.75" customHeight="1" x14ac:dyDescent="0.35">
      <c r="A271" s="92" t="s">
        <v>417</v>
      </c>
      <c r="B271" s="98">
        <v>2000000</v>
      </c>
      <c r="C271" s="41"/>
      <c r="D271" s="41">
        <f t="shared" si="23"/>
        <v>83.333333333333329</v>
      </c>
      <c r="E271" s="49">
        <f t="shared" si="24"/>
        <v>91.666666666666657</v>
      </c>
      <c r="F271" s="91"/>
      <c r="G271" s="49"/>
      <c r="H271" s="41"/>
      <c r="I271" s="41"/>
      <c r="J271" s="41"/>
      <c r="K271" s="41"/>
      <c r="L271" s="41"/>
      <c r="M271" s="41"/>
      <c r="N271" s="41"/>
      <c r="O271" s="41"/>
      <c r="P271" s="41"/>
      <c r="Q271" s="41"/>
      <c r="R271" s="41"/>
      <c r="S271" s="41"/>
      <c r="T271" s="41"/>
      <c r="U271" s="41"/>
      <c r="V271" s="41"/>
      <c r="W271" s="41"/>
      <c r="X271" s="41"/>
      <c r="Y271" s="41"/>
      <c r="Z271" s="41"/>
    </row>
    <row r="272" spans="1:26" ht="12.75" customHeight="1" x14ac:dyDescent="0.35">
      <c r="A272" s="92" t="s">
        <v>419</v>
      </c>
      <c r="B272" s="77">
        <v>2150000</v>
      </c>
      <c r="C272" s="41"/>
      <c r="D272" s="41">
        <f t="shared" si="23"/>
        <v>89.583333333333329</v>
      </c>
      <c r="E272" s="49">
        <f t="shared" si="24"/>
        <v>98.541666666666657</v>
      </c>
      <c r="F272" s="58"/>
      <c r="G272" s="49"/>
      <c r="H272" s="41"/>
      <c r="I272" s="41"/>
      <c r="J272" s="41"/>
      <c r="K272" s="41"/>
      <c r="L272" s="41"/>
      <c r="M272" s="41"/>
      <c r="N272" s="41"/>
      <c r="O272" s="41"/>
      <c r="P272" s="41"/>
      <c r="Q272" s="41"/>
      <c r="R272" s="41"/>
      <c r="S272" s="41"/>
      <c r="T272" s="41"/>
      <c r="U272" s="41"/>
      <c r="V272" s="41"/>
      <c r="W272" s="41"/>
      <c r="X272" s="41"/>
      <c r="Y272" s="41"/>
      <c r="Z272" s="41"/>
    </row>
    <row r="273" spans="1:26" ht="12.75" customHeight="1" x14ac:dyDescent="0.35">
      <c r="A273" s="92" t="s">
        <v>421</v>
      </c>
      <c r="B273" s="98">
        <v>1950000</v>
      </c>
      <c r="C273" s="41"/>
      <c r="D273" s="41">
        <f t="shared" si="23"/>
        <v>81.25</v>
      </c>
      <c r="E273" s="49">
        <f t="shared" si="24"/>
        <v>89.375</v>
      </c>
      <c r="F273" s="58"/>
      <c r="G273" s="49"/>
      <c r="H273" s="41"/>
      <c r="I273" s="41"/>
      <c r="J273" s="41"/>
      <c r="K273" s="41"/>
      <c r="L273" s="41"/>
      <c r="M273" s="41"/>
      <c r="N273" s="41"/>
      <c r="O273" s="41"/>
      <c r="P273" s="41"/>
      <c r="Q273" s="41"/>
      <c r="R273" s="41"/>
      <c r="S273" s="41"/>
      <c r="T273" s="41"/>
      <c r="U273" s="41"/>
      <c r="V273" s="41"/>
      <c r="W273" s="41"/>
      <c r="X273" s="41"/>
      <c r="Y273" s="41"/>
      <c r="Z273" s="41"/>
    </row>
    <row r="274" spans="1:26" ht="12.75" customHeight="1" x14ac:dyDescent="0.35">
      <c r="A274" s="92" t="s">
        <v>423</v>
      </c>
      <c r="B274" s="98">
        <v>2350000</v>
      </c>
      <c r="C274" s="41"/>
      <c r="D274" s="41">
        <f t="shared" si="23"/>
        <v>97.916666666666671</v>
      </c>
      <c r="E274" s="49">
        <f t="shared" si="24"/>
        <v>107.70833333333334</v>
      </c>
      <c r="F274" s="58"/>
      <c r="G274" s="49"/>
      <c r="H274" s="41"/>
      <c r="I274" s="41"/>
      <c r="J274" s="41"/>
      <c r="K274" s="41"/>
      <c r="L274" s="41"/>
      <c r="M274" s="41"/>
      <c r="N274" s="41"/>
      <c r="O274" s="41"/>
      <c r="P274" s="41"/>
      <c r="Q274" s="41"/>
      <c r="R274" s="41"/>
      <c r="S274" s="41"/>
      <c r="T274" s="41"/>
      <c r="U274" s="41"/>
      <c r="V274" s="41"/>
      <c r="W274" s="41"/>
      <c r="X274" s="41"/>
      <c r="Y274" s="41"/>
      <c r="Z274" s="41"/>
    </row>
    <row r="275" spans="1:26" ht="12.75" customHeight="1" x14ac:dyDescent="0.3">
      <c r="A275" s="91"/>
      <c r="B275" s="58"/>
      <c r="C275" s="41"/>
      <c r="D275" s="41">
        <f t="shared" si="23"/>
        <v>0</v>
      </c>
      <c r="E275" s="49">
        <f t="shared" si="24"/>
        <v>0</v>
      </c>
      <c r="F275" s="58"/>
      <c r="G275" s="49"/>
      <c r="H275" s="41"/>
      <c r="I275" s="41"/>
      <c r="J275" s="41"/>
      <c r="K275" s="41"/>
      <c r="L275" s="41"/>
      <c r="M275" s="41"/>
      <c r="N275" s="41"/>
      <c r="O275" s="41"/>
      <c r="P275" s="41"/>
      <c r="Q275" s="41"/>
      <c r="R275" s="41"/>
      <c r="S275" s="41"/>
      <c r="T275" s="41"/>
      <c r="U275" s="41"/>
      <c r="V275" s="41"/>
      <c r="W275" s="41"/>
      <c r="X275" s="41"/>
      <c r="Y275" s="41"/>
      <c r="Z275" s="41"/>
    </row>
    <row r="276" spans="1:26" ht="12.75" customHeight="1" x14ac:dyDescent="0.2">
      <c r="A276" s="58"/>
      <c r="B276" s="58"/>
      <c r="C276" s="41"/>
      <c r="D276" s="41">
        <f t="shared" si="23"/>
        <v>0</v>
      </c>
      <c r="E276" s="49">
        <f t="shared" si="24"/>
        <v>0</v>
      </c>
      <c r="F276" s="58"/>
      <c r="G276" s="49"/>
      <c r="H276" s="41"/>
      <c r="I276" s="41"/>
      <c r="J276" s="41"/>
      <c r="K276" s="41"/>
      <c r="L276" s="41"/>
      <c r="M276" s="41"/>
      <c r="N276" s="41"/>
      <c r="O276" s="41"/>
      <c r="P276" s="41"/>
      <c r="Q276" s="41"/>
      <c r="R276" s="41"/>
      <c r="S276" s="41"/>
      <c r="T276" s="41"/>
      <c r="U276" s="41"/>
      <c r="V276" s="41"/>
      <c r="W276" s="41"/>
      <c r="X276" s="41"/>
      <c r="Y276" s="41"/>
      <c r="Z276" s="41"/>
    </row>
    <row r="277" spans="1:26" ht="12.75" customHeight="1" x14ac:dyDescent="0.2">
      <c r="A277" s="58"/>
      <c r="B277" s="58"/>
      <c r="C277" s="41"/>
      <c r="D277" s="41">
        <f t="shared" si="23"/>
        <v>0</v>
      </c>
      <c r="E277" s="49">
        <f t="shared" si="24"/>
        <v>0</v>
      </c>
      <c r="F277" s="58"/>
      <c r="G277" s="49"/>
      <c r="H277" s="41"/>
      <c r="I277" s="41"/>
      <c r="J277" s="41"/>
      <c r="K277" s="41"/>
      <c r="L277" s="41"/>
      <c r="M277" s="41"/>
      <c r="N277" s="41"/>
      <c r="O277" s="41"/>
      <c r="P277" s="41"/>
      <c r="Q277" s="41"/>
      <c r="R277" s="41"/>
      <c r="S277" s="41"/>
      <c r="T277" s="41"/>
      <c r="U277" s="41"/>
      <c r="V277" s="41"/>
      <c r="W277" s="41"/>
      <c r="X277" s="41"/>
      <c r="Y277" s="41"/>
      <c r="Z277" s="41"/>
    </row>
    <row r="278" spans="1:26" ht="12.75" customHeight="1" x14ac:dyDescent="0.35">
      <c r="A278" s="58"/>
      <c r="B278" s="58"/>
      <c r="C278" s="41"/>
      <c r="D278" s="41">
        <f t="shared" si="23"/>
        <v>0</v>
      </c>
      <c r="E278" s="49">
        <f t="shared" si="24"/>
        <v>0</v>
      </c>
      <c r="F278" s="77"/>
      <c r="G278" s="49"/>
      <c r="H278" s="41"/>
      <c r="I278" s="41"/>
      <c r="J278" s="41"/>
      <c r="K278" s="41"/>
      <c r="L278" s="41"/>
      <c r="M278" s="41"/>
      <c r="N278" s="41"/>
      <c r="O278" s="41"/>
      <c r="P278" s="41"/>
      <c r="Q278" s="41"/>
      <c r="R278" s="41"/>
      <c r="S278" s="41"/>
      <c r="T278" s="41"/>
      <c r="U278" s="41"/>
      <c r="V278" s="41"/>
      <c r="W278" s="41"/>
      <c r="X278" s="41"/>
      <c r="Y278" s="41"/>
      <c r="Z278" s="41"/>
    </row>
    <row r="279" spans="1:26" ht="12.75" customHeight="1" x14ac:dyDescent="0.35">
      <c r="A279" s="58"/>
      <c r="B279" s="58"/>
      <c r="C279" s="41"/>
      <c r="D279" s="41">
        <f t="shared" si="23"/>
        <v>0</v>
      </c>
      <c r="E279" s="49">
        <f t="shared" si="24"/>
        <v>0</v>
      </c>
      <c r="F279" s="99"/>
      <c r="G279" s="49"/>
      <c r="H279" s="41"/>
      <c r="I279" s="41"/>
      <c r="J279" s="41"/>
      <c r="K279" s="41"/>
      <c r="L279" s="41"/>
      <c r="M279" s="41"/>
      <c r="N279" s="41"/>
      <c r="O279" s="41"/>
      <c r="P279" s="41"/>
      <c r="Q279" s="41"/>
      <c r="R279" s="41"/>
      <c r="S279" s="41"/>
      <c r="T279" s="41"/>
      <c r="U279" s="41"/>
      <c r="V279" s="41"/>
      <c r="W279" s="41"/>
      <c r="X279" s="41"/>
      <c r="Y279" s="41"/>
      <c r="Z279" s="41"/>
    </row>
    <row r="280" spans="1:26" ht="12.75" customHeight="1" x14ac:dyDescent="0.35">
      <c r="A280" s="58"/>
      <c r="B280" s="58"/>
      <c r="C280" s="41"/>
      <c r="D280" s="41">
        <f t="shared" si="23"/>
        <v>0</v>
      </c>
      <c r="E280" s="49">
        <f t="shared" si="24"/>
        <v>0</v>
      </c>
      <c r="F280" s="63"/>
      <c r="G280" s="49"/>
      <c r="H280" s="41"/>
      <c r="I280" s="41"/>
      <c r="J280" s="41"/>
      <c r="K280" s="41"/>
      <c r="L280" s="41"/>
      <c r="M280" s="41"/>
      <c r="N280" s="41"/>
      <c r="O280" s="41"/>
      <c r="P280" s="41"/>
      <c r="Q280" s="41"/>
      <c r="R280" s="41"/>
      <c r="S280" s="41"/>
      <c r="T280" s="41"/>
      <c r="U280" s="41"/>
      <c r="V280" s="41"/>
      <c r="W280" s="41"/>
      <c r="X280" s="41"/>
      <c r="Y280" s="41"/>
      <c r="Z280" s="41"/>
    </row>
    <row r="281" spans="1:26" ht="12.75" customHeight="1" x14ac:dyDescent="0.35">
      <c r="A281" s="58"/>
      <c r="B281" s="58"/>
      <c r="C281" s="41"/>
      <c r="D281" s="41">
        <f t="shared" si="23"/>
        <v>0</v>
      </c>
      <c r="E281" s="49">
        <f t="shared" si="24"/>
        <v>0</v>
      </c>
      <c r="F281" s="92"/>
      <c r="G281" s="49"/>
      <c r="H281" s="41"/>
      <c r="I281" s="41"/>
      <c r="J281" s="41"/>
      <c r="K281" s="41"/>
      <c r="L281" s="41"/>
      <c r="M281" s="41"/>
      <c r="N281" s="41"/>
      <c r="O281" s="41"/>
      <c r="P281" s="41"/>
      <c r="Q281" s="41"/>
      <c r="R281" s="41"/>
      <c r="S281" s="41"/>
      <c r="T281" s="41"/>
      <c r="U281" s="41"/>
      <c r="V281" s="41"/>
      <c r="W281" s="41"/>
      <c r="X281" s="41"/>
      <c r="Y281" s="41"/>
      <c r="Z281" s="41"/>
    </row>
    <row r="282" spans="1:26" ht="12.75" customHeight="1" x14ac:dyDescent="0.35">
      <c r="A282" s="77" t="s">
        <v>330</v>
      </c>
      <c r="B282" s="58"/>
      <c r="C282" s="41"/>
      <c r="D282" s="41">
        <f t="shared" si="23"/>
        <v>0</v>
      </c>
      <c r="E282" s="49">
        <f t="shared" si="24"/>
        <v>0</v>
      </c>
      <c r="F282" s="92"/>
      <c r="G282" s="49"/>
      <c r="H282" s="41"/>
      <c r="I282" s="41"/>
      <c r="J282" s="41"/>
      <c r="K282" s="41"/>
      <c r="L282" s="41"/>
      <c r="M282" s="41"/>
      <c r="N282" s="41"/>
      <c r="O282" s="41"/>
      <c r="P282" s="41"/>
      <c r="Q282" s="41"/>
      <c r="R282" s="41"/>
      <c r="S282" s="41"/>
      <c r="T282" s="41"/>
      <c r="U282" s="41"/>
      <c r="V282" s="41"/>
      <c r="W282" s="41"/>
      <c r="X282" s="41"/>
      <c r="Y282" s="41"/>
      <c r="Z282" s="41"/>
    </row>
    <row r="283" spans="1:26" ht="12.75" customHeight="1" x14ac:dyDescent="0.35">
      <c r="A283" s="99" t="s">
        <v>410</v>
      </c>
      <c r="B283" s="98">
        <v>1550000</v>
      </c>
      <c r="C283" s="41"/>
      <c r="D283" s="41">
        <f t="shared" si="23"/>
        <v>64.583333333333329</v>
      </c>
      <c r="E283" s="49">
        <f t="shared" si="24"/>
        <v>71.041666666666657</v>
      </c>
      <c r="F283" s="92"/>
      <c r="G283" s="49"/>
      <c r="H283" s="41"/>
      <c r="I283" s="41"/>
      <c r="J283" s="41"/>
      <c r="K283" s="41"/>
      <c r="L283" s="41"/>
      <c r="M283" s="41"/>
      <c r="N283" s="41"/>
      <c r="O283" s="41"/>
      <c r="P283" s="41"/>
      <c r="Q283" s="41"/>
      <c r="R283" s="41"/>
      <c r="S283" s="41"/>
      <c r="T283" s="41"/>
      <c r="U283" s="41"/>
      <c r="V283" s="41"/>
      <c r="W283" s="41"/>
      <c r="X283" s="41"/>
      <c r="Y283" s="41"/>
      <c r="Z283" s="41"/>
    </row>
    <row r="284" spans="1:26" ht="12.75" customHeight="1" x14ac:dyDescent="0.35">
      <c r="A284" s="63" t="s">
        <v>412</v>
      </c>
      <c r="B284" s="98">
        <v>1650000</v>
      </c>
      <c r="C284" s="41"/>
      <c r="D284" s="41">
        <f t="shared" si="23"/>
        <v>68.75</v>
      </c>
      <c r="E284" s="49">
        <f t="shared" si="24"/>
        <v>75.625</v>
      </c>
      <c r="F284" s="63"/>
      <c r="G284" s="49"/>
      <c r="H284" s="41"/>
      <c r="I284" s="41"/>
      <c r="J284" s="41"/>
      <c r="K284" s="41"/>
      <c r="L284" s="41"/>
      <c r="M284" s="41"/>
      <c r="N284" s="41"/>
      <c r="O284" s="41"/>
      <c r="P284" s="41"/>
      <c r="Q284" s="41"/>
      <c r="R284" s="41"/>
      <c r="S284" s="41"/>
      <c r="T284" s="41"/>
      <c r="U284" s="41"/>
      <c r="V284" s="41"/>
      <c r="W284" s="41"/>
      <c r="X284" s="41"/>
      <c r="Y284" s="41"/>
      <c r="Z284" s="41"/>
    </row>
    <row r="285" spans="1:26" ht="12.75" customHeight="1" x14ac:dyDescent="0.35">
      <c r="A285" s="92" t="s">
        <v>414</v>
      </c>
      <c r="B285" s="98">
        <v>1880000</v>
      </c>
      <c r="C285" s="41"/>
      <c r="D285" s="41">
        <f t="shared" si="23"/>
        <v>78.333333333333329</v>
      </c>
      <c r="E285" s="49">
        <f t="shared" si="24"/>
        <v>86.166666666666657</v>
      </c>
      <c r="F285" s="92"/>
      <c r="G285" s="49"/>
      <c r="H285" s="41"/>
      <c r="I285" s="41"/>
      <c r="J285" s="41"/>
      <c r="K285" s="41"/>
      <c r="L285" s="41"/>
      <c r="M285" s="41"/>
      <c r="N285" s="41"/>
      <c r="O285" s="41"/>
      <c r="P285" s="41"/>
      <c r="Q285" s="41"/>
      <c r="R285" s="41"/>
      <c r="S285" s="41"/>
      <c r="T285" s="41"/>
      <c r="U285" s="41"/>
      <c r="V285" s="41"/>
      <c r="W285" s="41"/>
      <c r="X285" s="41"/>
      <c r="Y285" s="41"/>
      <c r="Z285" s="41"/>
    </row>
    <row r="286" spans="1:26" ht="12.75" customHeight="1" x14ac:dyDescent="0.35">
      <c r="A286" s="92" t="s">
        <v>416</v>
      </c>
      <c r="B286" s="71">
        <v>2115000</v>
      </c>
      <c r="C286" s="41"/>
      <c r="D286" s="41">
        <f t="shared" si="23"/>
        <v>88.125</v>
      </c>
      <c r="E286" s="49">
        <f t="shared" si="24"/>
        <v>96.9375</v>
      </c>
      <c r="F286" s="92"/>
      <c r="G286" s="49"/>
      <c r="H286" s="41"/>
      <c r="I286" s="41"/>
      <c r="J286" s="41"/>
      <c r="K286" s="41"/>
      <c r="L286" s="41"/>
      <c r="M286" s="41"/>
      <c r="N286" s="41"/>
      <c r="O286" s="41"/>
      <c r="P286" s="41"/>
      <c r="Q286" s="41"/>
      <c r="R286" s="41"/>
      <c r="S286" s="41"/>
      <c r="T286" s="41"/>
      <c r="U286" s="41"/>
      <c r="V286" s="41"/>
      <c r="W286" s="41"/>
      <c r="X286" s="41"/>
      <c r="Y286" s="41"/>
      <c r="Z286" s="41"/>
    </row>
    <row r="287" spans="1:26" ht="12.75" customHeight="1" x14ac:dyDescent="0.35">
      <c r="A287" s="92" t="s">
        <v>418</v>
      </c>
      <c r="B287" s="98">
        <v>2050000</v>
      </c>
      <c r="C287" s="41"/>
      <c r="D287" s="41">
        <f t="shared" si="23"/>
        <v>85.416666666666671</v>
      </c>
      <c r="E287" s="49">
        <f t="shared" si="24"/>
        <v>93.958333333333343</v>
      </c>
      <c r="F287" s="92"/>
      <c r="G287" s="49"/>
      <c r="H287" s="41"/>
      <c r="I287" s="41"/>
      <c r="J287" s="41"/>
      <c r="K287" s="41"/>
      <c r="L287" s="41"/>
      <c r="M287" s="41"/>
      <c r="N287" s="41"/>
      <c r="O287" s="41"/>
      <c r="P287" s="41"/>
      <c r="Q287" s="41"/>
      <c r="R287" s="41"/>
      <c r="S287" s="41"/>
      <c r="T287" s="41"/>
      <c r="U287" s="41"/>
      <c r="V287" s="41"/>
      <c r="W287" s="41"/>
      <c r="X287" s="41"/>
      <c r="Y287" s="41"/>
      <c r="Z287" s="41"/>
    </row>
    <row r="288" spans="1:26" ht="12.75" customHeight="1" x14ac:dyDescent="0.35">
      <c r="A288" s="63" t="s">
        <v>420</v>
      </c>
      <c r="B288" s="98">
        <v>2250000</v>
      </c>
      <c r="C288" s="41"/>
      <c r="D288" s="41">
        <f t="shared" si="23"/>
        <v>93.75</v>
      </c>
      <c r="E288" s="49">
        <f t="shared" si="24"/>
        <v>103.125</v>
      </c>
      <c r="F288" s="92"/>
      <c r="G288" s="49"/>
      <c r="H288" s="41"/>
      <c r="I288" s="41"/>
      <c r="J288" s="41"/>
      <c r="K288" s="41"/>
      <c r="L288" s="41"/>
      <c r="M288" s="41"/>
      <c r="N288" s="41"/>
      <c r="O288" s="41"/>
      <c r="P288" s="41"/>
      <c r="Q288" s="41"/>
      <c r="R288" s="41"/>
      <c r="S288" s="41"/>
      <c r="T288" s="41"/>
      <c r="U288" s="41"/>
      <c r="V288" s="41"/>
      <c r="W288" s="41"/>
      <c r="X288" s="41"/>
      <c r="Y288" s="41"/>
      <c r="Z288" s="41"/>
    </row>
    <row r="289" spans="1:26" ht="12.75" customHeight="1" x14ac:dyDescent="0.35">
      <c r="A289" s="92" t="s">
        <v>422</v>
      </c>
      <c r="B289" s="77">
        <v>1650000</v>
      </c>
      <c r="C289" s="41"/>
      <c r="D289" s="41">
        <f t="shared" si="23"/>
        <v>68.75</v>
      </c>
      <c r="E289" s="49">
        <f t="shared" si="24"/>
        <v>75.625</v>
      </c>
      <c r="F289" s="92"/>
      <c r="G289" s="49"/>
      <c r="H289" s="41"/>
      <c r="I289" s="41"/>
      <c r="J289" s="41"/>
      <c r="K289" s="41"/>
      <c r="L289" s="41"/>
      <c r="M289" s="41"/>
      <c r="N289" s="41"/>
      <c r="O289" s="41"/>
      <c r="P289" s="41"/>
      <c r="Q289" s="41"/>
      <c r="R289" s="41"/>
      <c r="S289" s="41"/>
      <c r="T289" s="41"/>
      <c r="U289" s="41"/>
      <c r="V289" s="41"/>
      <c r="W289" s="41"/>
      <c r="X289" s="41"/>
      <c r="Y289" s="41"/>
      <c r="Z289" s="41"/>
    </row>
    <row r="290" spans="1:26" ht="12.75" customHeight="1" x14ac:dyDescent="0.35">
      <c r="A290" s="92" t="s">
        <v>424</v>
      </c>
      <c r="B290" s="77">
        <v>1850000</v>
      </c>
      <c r="C290" s="41"/>
      <c r="D290" s="41">
        <f t="shared" si="23"/>
        <v>77.083333333333329</v>
      </c>
      <c r="E290" s="49">
        <f t="shared" si="24"/>
        <v>84.791666666666657</v>
      </c>
      <c r="F290" s="92"/>
      <c r="G290" s="49"/>
      <c r="H290" s="41"/>
      <c r="I290" s="41"/>
      <c r="J290" s="41"/>
      <c r="K290" s="41"/>
      <c r="L290" s="41"/>
      <c r="M290" s="41"/>
      <c r="N290" s="41"/>
      <c r="O290" s="41"/>
      <c r="P290" s="41"/>
      <c r="Q290" s="41"/>
      <c r="R290" s="41"/>
      <c r="S290" s="41"/>
      <c r="T290" s="41"/>
      <c r="U290" s="41"/>
      <c r="V290" s="41"/>
      <c r="W290" s="41"/>
      <c r="X290" s="41"/>
      <c r="Y290" s="41"/>
      <c r="Z290" s="41"/>
    </row>
    <row r="291" spans="1:26" ht="12.75" customHeight="1" x14ac:dyDescent="0.35">
      <c r="A291" s="92" t="s">
        <v>425</v>
      </c>
      <c r="B291" s="77">
        <v>1100000</v>
      </c>
      <c r="C291" s="41"/>
      <c r="D291" s="41">
        <f t="shared" si="23"/>
        <v>45.833333333333336</v>
      </c>
      <c r="E291" s="49">
        <f t="shared" si="24"/>
        <v>50.416666666666671</v>
      </c>
      <c r="F291" s="92"/>
      <c r="G291" s="49"/>
      <c r="H291" s="41"/>
      <c r="I291" s="41"/>
      <c r="J291" s="41"/>
      <c r="K291" s="41"/>
      <c r="L291" s="41"/>
      <c r="M291" s="41"/>
      <c r="N291" s="41"/>
      <c r="O291" s="41"/>
      <c r="P291" s="41"/>
      <c r="Q291" s="41"/>
      <c r="R291" s="41"/>
      <c r="S291" s="41"/>
      <c r="T291" s="41"/>
      <c r="U291" s="41"/>
      <c r="V291" s="41"/>
      <c r="W291" s="41"/>
      <c r="X291" s="41"/>
      <c r="Y291" s="41"/>
      <c r="Z291" s="41"/>
    </row>
    <row r="292" spans="1:26" ht="12.75" customHeight="1" x14ac:dyDescent="0.35">
      <c r="A292" s="92" t="s">
        <v>426</v>
      </c>
      <c r="B292" s="77">
        <v>1400000</v>
      </c>
      <c r="C292" s="41"/>
      <c r="D292" s="41">
        <f t="shared" si="23"/>
        <v>58.333333333333336</v>
      </c>
      <c r="E292" s="49">
        <f t="shared" si="24"/>
        <v>64.166666666666671</v>
      </c>
      <c r="F292" s="77"/>
      <c r="G292" s="49"/>
      <c r="H292" s="41"/>
      <c r="I292" s="41"/>
      <c r="J292" s="41"/>
      <c r="K292" s="41"/>
      <c r="L292" s="41"/>
      <c r="M292" s="41"/>
      <c r="N292" s="41"/>
      <c r="O292" s="41"/>
      <c r="P292" s="41"/>
      <c r="Q292" s="41"/>
      <c r="R292" s="41"/>
      <c r="S292" s="41"/>
      <c r="T292" s="41"/>
      <c r="U292" s="41"/>
      <c r="V292" s="41"/>
      <c r="W292" s="41"/>
      <c r="X292" s="41"/>
      <c r="Y292" s="41"/>
      <c r="Z292" s="41"/>
    </row>
    <row r="293" spans="1:26" ht="12.75" customHeight="1" x14ac:dyDescent="0.35">
      <c r="A293" s="92" t="s">
        <v>427</v>
      </c>
      <c r="B293" s="77">
        <v>700000</v>
      </c>
      <c r="C293" s="41"/>
      <c r="D293" s="41">
        <f t="shared" si="23"/>
        <v>29.166666666666668</v>
      </c>
      <c r="E293" s="49">
        <f t="shared" si="24"/>
        <v>32.083333333333336</v>
      </c>
      <c r="F293" s="91"/>
      <c r="G293" s="49"/>
      <c r="H293" s="41"/>
      <c r="I293" s="41"/>
      <c r="J293" s="41"/>
      <c r="K293" s="41"/>
      <c r="L293" s="41"/>
      <c r="M293" s="41"/>
      <c r="N293" s="41"/>
      <c r="O293" s="41"/>
      <c r="P293" s="41"/>
      <c r="Q293" s="41"/>
      <c r="R293" s="41"/>
      <c r="S293" s="41"/>
      <c r="T293" s="41"/>
      <c r="U293" s="41"/>
      <c r="V293" s="41"/>
      <c r="W293" s="41"/>
      <c r="X293" s="41"/>
      <c r="Y293" s="41"/>
      <c r="Z293" s="41"/>
    </row>
    <row r="294" spans="1:26" ht="12.75" customHeight="1" x14ac:dyDescent="0.35">
      <c r="A294" s="92" t="s">
        <v>428</v>
      </c>
      <c r="B294" s="77">
        <v>800000</v>
      </c>
      <c r="C294" s="41"/>
      <c r="D294" s="41">
        <f t="shared" si="23"/>
        <v>33.333333333333336</v>
      </c>
      <c r="E294" s="49">
        <f t="shared" si="24"/>
        <v>36.666666666666671</v>
      </c>
      <c r="F294" s="92"/>
      <c r="G294" s="49"/>
      <c r="H294" s="41"/>
      <c r="I294" s="41"/>
      <c r="J294" s="41"/>
      <c r="K294" s="41"/>
      <c r="L294" s="41"/>
      <c r="M294" s="41"/>
      <c r="N294" s="41"/>
      <c r="O294" s="41"/>
      <c r="P294" s="41"/>
      <c r="Q294" s="41"/>
      <c r="R294" s="41"/>
      <c r="S294" s="41"/>
      <c r="T294" s="41"/>
      <c r="U294" s="41"/>
      <c r="V294" s="41"/>
      <c r="W294" s="41"/>
      <c r="X294" s="41"/>
      <c r="Y294" s="41"/>
      <c r="Z294" s="41"/>
    </row>
    <row r="295" spans="1:26" ht="12.75" customHeight="1" x14ac:dyDescent="0.35">
      <c r="A295" s="92"/>
      <c r="B295" s="77"/>
      <c r="C295" s="41"/>
      <c r="D295" s="41">
        <f t="shared" si="23"/>
        <v>0</v>
      </c>
      <c r="E295" s="49">
        <f t="shared" si="24"/>
        <v>0</v>
      </c>
      <c r="F295" s="41"/>
      <c r="G295" s="41"/>
      <c r="H295" s="41"/>
      <c r="I295" s="41"/>
      <c r="J295" s="41"/>
      <c r="K295" s="41"/>
      <c r="L295" s="41"/>
      <c r="M295" s="41"/>
      <c r="N295" s="41"/>
      <c r="O295" s="41"/>
      <c r="P295" s="41"/>
      <c r="Q295" s="41"/>
      <c r="R295" s="41"/>
      <c r="S295" s="41"/>
      <c r="T295" s="41"/>
      <c r="U295" s="41"/>
      <c r="V295" s="41"/>
      <c r="W295" s="41"/>
      <c r="X295" s="41"/>
      <c r="Y295" s="41"/>
      <c r="Z295" s="41"/>
    </row>
    <row r="296" spans="1:26" ht="12.75" customHeight="1" x14ac:dyDescent="0.35">
      <c r="A296" s="77" t="s">
        <v>177</v>
      </c>
      <c r="B296" s="113"/>
      <c r="C296" s="41"/>
      <c r="D296" s="41">
        <f t="shared" si="23"/>
        <v>0</v>
      </c>
      <c r="E296" s="49">
        <f t="shared" si="24"/>
        <v>0</v>
      </c>
      <c r="F296" s="41"/>
      <c r="G296" s="41"/>
      <c r="H296" s="41"/>
      <c r="I296" s="41"/>
      <c r="J296" s="41"/>
      <c r="K296" s="41"/>
      <c r="L296" s="41"/>
      <c r="M296" s="41"/>
      <c r="N296" s="41"/>
      <c r="O296" s="41"/>
      <c r="P296" s="41"/>
      <c r="Q296" s="41"/>
      <c r="R296" s="41"/>
      <c r="S296" s="41"/>
      <c r="T296" s="41"/>
      <c r="U296" s="41"/>
      <c r="V296" s="41"/>
      <c r="W296" s="41"/>
      <c r="X296" s="41"/>
      <c r="Y296" s="41"/>
      <c r="Z296" s="41"/>
    </row>
    <row r="297" spans="1:26" ht="12.75" customHeight="1" x14ac:dyDescent="0.35">
      <c r="A297" s="91" t="s">
        <v>373</v>
      </c>
      <c r="B297" s="77">
        <v>1450000</v>
      </c>
      <c r="C297" s="41"/>
      <c r="D297" s="41">
        <f t="shared" si="23"/>
        <v>60.416666666666664</v>
      </c>
      <c r="E297" s="49">
        <f t="shared" si="24"/>
        <v>66.458333333333329</v>
      </c>
      <c r="F297" s="41"/>
      <c r="G297" s="41"/>
      <c r="H297" s="41"/>
      <c r="I297" s="41"/>
      <c r="J297" s="41"/>
      <c r="K297" s="41"/>
      <c r="L297" s="41"/>
      <c r="M297" s="41"/>
      <c r="N297" s="41"/>
      <c r="O297" s="41"/>
      <c r="P297" s="41"/>
      <c r="Q297" s="41"/>
      <c r="R297" s="41"/>
      <c r="S297" s="41"/>
      <c r="T297" s="41"/>
      <c r="U297" s="41"/>
      <c r="V297" s="41"/>
      <c r="W297" s="41"/>
      <c r="X297" s="41"/>
      <c r="Y297" s="41"/>
      <c r="Z297" s="41"/>
    </row>
    <row r="298" spans="1:26" ht="12.75" customHeight="1" x14ac:dyDescent="0.35">
      <c r="A298" s="92" t="s">
        <v>376</v>
      </c>
      <c r="B298" s="114">
        <v>1650000</v>
      </c>
      <c r="C298" s="41"/>
      <c r="D298" s="41">
        <f t="shared" si="23"/>
        <v>68.75</v>
      </c>
      <c r="E298" s="49">
        <f t="shared" si="24"/>
        <v>75.625</v>
      </c>
      <c r="F298" s="41"/>
      <c r="G298" s="41"/>
      <c r="H298" s="41"/>
      <c r="I298" s="41"/>
      <c r="J298" s="41"/>
      <c r="K298" s="41"/>
      <c r="L298" s="41"/>
      <c r="M298" s="41"/>
      <c r="N298" s="41"/>
      <c r="O298" s="41"/>
      <c r="P298" s="41"/>
      <c r="Q298" s="41"/>
      <c r="R298" s="41"/>
      <c r="S298" s="41"/>
      <c r="T298" s="41"/>
      <c r="U298" s="41"/>
      <c r="V298" s="41"/>
      <c r="W298" s="41"/>
      <c r="X298" s="41"/>
      <c r="Y298" s="41"/>
      <c r="Z298" s="41"/>
    </row>
    <row r="299" spans="1:26" ht="12.75" customHeight="1" x14ac:dyDescent="0.2">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2.75" customHeight="1" x14ac:dyDescent="0.2">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2.75" customHeight="1" x14ac:dyDescent="0.2">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2.75" customHeight="1" x14ac:dyDescent="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2.75" customHeight="1" x14ac:dyDescent="0.2">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2.75" customHeight="1" x14ac:dyDescent="0.2">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2.75" customHeight="1" x14ac:dyDescent="0.2">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2.75" customHeight="1" x14ac:dyDescent="0.2">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2.75" customHeight="1" x14ac:dyDescent="0.2">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2.75" customHeight="1" x14ac:dyDescent="0.2">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2.75" customHeight="1" x14ac:dyDescent="0.2">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2.75" customHeight="1" x14ac:dyDescent="0.2">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2.75" customHeight="1" x14ac:dyDescent="0.2">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2.75" customHeight="1" x14ac:dyDescent="0.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2.75" customHeight="1" x14ac:dyDescent="0.2">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2.75" customHeight="1" x14ac:dyDescent="0.2">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2.75" customHeight="1" x14ac:dyDescent="0.2">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2.75" customHeight="1" x14ac:dyDescent="0.2">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2.75" customHeight="1" x14ac:dyDescent="0.2">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2.75" customHeight="1" x14ac:dyDescent="0.2">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2.75" customHeight="1" x14ac:dyDescent="0.2">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2.75" customHeight="1" x14ac:dyDescent="0.2">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2.75" customHeight="1" x14ac:dyDescent="0.2">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2.75" customHeight="1" x14ac:dyDescent="0.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2.75" customHeight="1" x14ac:dyDescent="0.2">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2.75" customHeight="1" x14ac:dyDescent="0.2">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2.75" customHeight="1" x14ac:dyDescent="0.2">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2.75" customHeight="1" x14ac:dyDescent="0.2">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2.75" customHeight="1" x14ac:dyDescent="0.2">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2.75" customHeight="1" x14ac:dyDescent="0.2">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2.75" customHeight="1" x14ac:dyDescent="0.2">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2.75" customHeight="1" x14ac:dyDescent="0.2">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2.75" customHeight="1" x14ac:dyDescent="0.2">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2.75" customHeight="1" x14ac:dyDescent="0.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2.75" customHeight="1" x14ac:dyDescent="0.2">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2.75" customHeight="1" x14ac:dyDescent="0.2">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2.75" customHeight="1" x14ac:dyDescent="0.2">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2.75" customHeight="1" x14ac:dyDescent="0.2">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2.75" customHeight="1" x14ac:dyDescent="0.2">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2.75" customHeight="1" x14ac:dyDescent="0.2">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2.75" customHeight="1" x14ac:dyDescent="0.2">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2.75" customHeight="1" x14ac:dyDescent="0.2">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2.75" customHeight="1" x14ac:dyDescent="0.2">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2.75" customHeight="1" x14ac:dyDescent="0.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2.75" customHeight="1" x14ac:dyDescent="0.2">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2.75" customHeight="1" x14ac:dyDescent="0.2">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2.75" customHeight="1" x14ac:dyDescent="0.2">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2.75" customHeight="1" x14ac:dyDescent="0.2">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2.75" customHeight="1" x14ac:dyDescent="0.2">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2.75" customHeight="1" x14ac:dyDescent="0.2">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2.75" customHeight="1" x14ac:dyDescent="0.2">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2.75" customHeight="1" x14ac:dyDescent="0.2">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2.75" customHeight="1" x14ac:dyDescent="0.2">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2.75" customHeight="1" x14ac:dyDescent="0.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2.75" customHeight="1" x14ac:dyDescent="0.2">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2.75" customHeight="1" x14ac:dyDescent="0.2">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2.75" customHeight="1" x14ac:dyDescent="0.2">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2.75" customHeight="1" x14ac:dyDescent="0.2">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2.75" customHeight="1" x14ac:dyDescent="0.2">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2.75" customHeight="1" x14ac:dyDescent="0.2">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2.75" customHeight="1" x14ac:dyDescent="0.2">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2.75" customHeight="1" x14ac:dyDescent="0.2">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2.75" customHeight="1" x14ac:dyDescent="0.2">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2.75" customHeight="1" x14ac:dyDescent="0.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2.75" customHeight="1" x14ac:dyDescent="0.2">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2.75" customHeight="1" x14ac:dyDescent="0.2">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2.75" customHeight="1" x14ac:dyDescent="0.2">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2.75" customHeight="1" x14ac:dyDescent="0.2">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2.75" customHeight="1" x14ac:dyDescent="0.2">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2.75" customHeight="1" x14ac:dyDescent="0.2">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2.75" customHeight="1" x14ac:dyDescent="0.2">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2.75" customHeight="1" x14ac:dyDescent="0.2">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2.75" customHeight="1" x14ac:dyDescent="0.2">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2.75" customHeight="1" x14ac:dyDescent="0.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2.75" customHeight="1" x14ac:dyDescent="0.2">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2.75" customHeight="1" x14ac:dyDescent="0.2">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2.75" customHeight="1" x14ac:dyDescent="0.2">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2.75" customHeight="1" x14ac:dyDescent="0.2">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2.75" customHeight="1" x14ac:dyDescent="0.2">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2.75" customHeight="1" x14ac:dyDescent="0.2">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2.75" customHeight="1" x14ac:dyDescent="0.2">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2.75" customHeight="1" x14ac:dyDescent="0.2">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2.75" customHeight="1" x14ac:dyDescent="0.2">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2.75" customHeight="1" x14ac:dyDescent="0.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2.75" customHeight="1" x14ac:dyDescent="0.2">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2.75" customHeight="1" x14ac:dyDescent="0.2">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2.75" customHeight="1" x14ac:dyDescent="0.2">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2.75" customHeight="1" x14ac:dyDescent="0.2">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2.75" customHeight="1" x14ac:dyDescent="0.2">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2.75" customHeight="1" x14ac:dyDescent="0.2">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2.75" customHeight="1" x14ac:dyDescent="0.2">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2.75" customHeight="1" x14ac:dyDescent="0.2">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2.75" customHeight="1" x14ac:dyDescent="0.2">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2.75" customHeight="1" x14ac:dyDescent="0.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2.75" customHeight="1" x14ac:dyDescent="0.2">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2.75" customHeight="1" x14ac:dyDescent="0.2">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2.75" customHeight="1" x14ac:dyDescent="0.2">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2.75" customHeight="1" x14ac:dyDescent="0.2">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2.75" customHeight="1" x14ac:dyDescent="0.2">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2.75" customHeight="1" x14ac:dyDescent="0.2">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2.75" customHeight="1" x14ac:dyDescent="0.2">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2.75" customHeight="1" x14ac:dyDescent="0.2">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2.75" customHeight="1" x14ac:dyDescent="0.2">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2.75" customHeight="1" x14ac:dyDescent="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2.75" customHeight="1" x14ac:dyDescent="0.2">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2.75" customHeight="1" x14ac:dyDescent="0.2">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2.75" customHeight="1" x14ac:dyDescent="0.2">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2.75" customHeight="1" x14ac:dyDescent="0.2">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2.75" customHeight="1" x14ac:dyDescent="0.2">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2.75" customHeight="1" x14ac:dyDescent="0.2">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2.75" customHeight="1" x14ac:dyDescent="0.2">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2.75" customHeight="1" x14ac:dyDescent="0.2">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2.75" customHeight="1" x14ac:dyDescent="0.2">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2.75" customHeight="1" x14ac:dyDescent="0.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2.75" customHeight="1" x14ac:dyDescent="0.2">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2.75" customHeight="1" x14ac:dyDescent="0.2">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2.75" customHeight="1" x14ac:dyDescent="0.2">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2.75" customHeight="1" x14ac:dyDescent="0.2">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2.75" customHeight="1" x14ac:dyDescent="0.2">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2.75" customHeight="1" x14ac:dyDescent="0.2">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2.75" customHeight="1" x14ac:dyDescent="0.2">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2.75" customHeight="1" x14ac:dyDescent="0.2">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2.75" customHeight="1" x14ac:dyDescent="0.2">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2.75" customHeight="1" x14ac:dyDescent="0.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2.75" customHeight="1" x14ac:dyDescent="0.2">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2.75" customHeight="1" x14ac:dyDescent="0.2">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2.75" customHeight="1" x14ac:dyDescent="0.2">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2.75" customHeight="1" x14ac:dyDescent="0.2">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2.75" customHeight="1" x14ac:dyDescent="0.2">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2.75" customHeight="1" x14ac:dyDescent="0.2">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2.75" customHeight="1" x14ac:dyDescent="0.2">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2.75" customHeight="1" x14ac:dyDescent="0.2">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2.75" customHeight="1" x14ac:dyDescent="0.2">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2.75" customHeight="1" x14ac:dyDescent="0.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2.75" customHeight="1" x14ac:dyDescent="0.2">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2.75" customHeight="1" x14ac:dyDescent="0.2">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2.75" customHeight="1" x14ac:dyDescent="0.2">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2.75" customHeight="1" x14ac:dyDescent="0.2">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2.75" customHeight="1" x14ac:dyDescent="0.2">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2.75" customHeight="1" x14ac:dyDescent="0.2">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2.75" customHeight="1" x14ac:dyDescent="0.2">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2.75" customHeight="1" x14ac:dyDescent="0.2">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2.75" customHeight="1" x14ac:dyDescent="0.2">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2.75" customHeight="1" x14ac:dyDescent="0.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2.75" customHeight="1" x14ac:dyDescent="0.2">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2.75" customHeight="1" x14ac:dyDescent="0.2">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2.75" customHeight="1" x14ac:dyDescent="0.2">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2.75" customHeight="1" x14ac:dyDescent="0.2">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2.75" customHeight="1" x14ac:dyDescent="0.2">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2.75" customHeight="1" x14ac:dyDescent="0.2">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2.75" customHeight="1" x14ac:dyDescent="0.2">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2.75" customHeight="1" x14ac:dyDescent="0.2">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2.75" customHeight="1" x14ac:dyDescent="0.2">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2.75" customHeight="1" x14ac:dyDescent="0.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2.75" customHeight="1" x14ac:dyDescent="0.2">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2.75" customHeight="1" x14ac:dyDescent="0.2">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2.75" customHeight="1" x14ac:dyDescent="0.2">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2.75" customHeight="1" x14ac:dyDescent="0.2">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2.75" customHeight="1" x14ac:dyDescent="0.2">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2.75" customHeight="1" x14ac:dyDescent="0.2">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2.75" customHeight="1" x14ac:dyDescent="0.2">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2.75" customHeight="1" x14ac:dyDescent="0.2">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2.75" customHeight="1" x14ac:dyDescent="0.2">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2.75" customHeight="1" x14ac:dyDescent="0.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2.75" customHeight="1" x14ac:dyDescent="0.2">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2.75" customHeight="1" x14ac:dyDescent="0.2">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2.75" customHeight="1" x14ac:dyDescent="0.2">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2.75" customHeight="1" x14ac:dyDescent="0.2">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2.75" customHeight="1" x14ac:dyDescent="0.2">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2.75" customHeight="1" x14ac:dyDescent="0.2">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2.75" customHeight="1" x14ac:dyDescent="0.2">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2.75" customHeight="1" x14ac:dyDescent="0.2">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2.75" customHeight="1" x14ac:dyDescent="0.2">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2.75" customHeight="1" x14ac:dyDescent="0.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2.75" customHeight="1" x14ac:dyDescent="0.2">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2.75" customHeight="1" x14ac:dyDescent="0.2">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2.75" customHeight="1" x14ac:dyDescent="0.2">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2.75" customHeight="1" x14ac:dyDescent="0.2">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2.75" customHeight="1" x14ac:dyDescent="0.2">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2.75" customHeight="1" x14ac:dyDescent="0.2">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2.75" customHeight="1" x14ac:dyDescent="0.2">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2.75" customHeight="1" x14ac:dyDescent="0.2">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2.75" customHeight="1" x14ac:dyDescent="0.2">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2.75" customHeight="1" x14ac:dyDescent="0.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2.75" customHeight="1" x14ac:dyDescent="0.2">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2.75" customHeight="1" x14ac:dyDescent="0.2">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2.75" customHeight="1" x14ac:dyDescent="0.2">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2.75" customHeight="1" x14ac:dyDescent="0.2">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2.75" customHeight="1" x14ac:dyDescent="0.2">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2.75" customHeight="1" x14ac:dyDescent="0.2">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2.75" customHeight="1" x14ac:dyDescent="0.2">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2.75" customHeight="1" x14ac:dyDescent="0.2">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2.75" customHeight="1" x14ac:dyDescent="0.2">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2.75" customHeight="1" x14ac:dyDescent="0.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2.75" customHeight="1" x14ac:dyDescent="0.2">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2.75" customHeight="1" x14ac:dyDescent="0.2">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2.75" customHeight="1" x14ac:dyDescent="0.2">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2.75" customHeight="1" x14ac:dyDescent="0.2">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2.75" customHeight="1" x14ac:dyDescent="0.2">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2.75" customHeight="1" x14ac:dyDescent="0.2">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2.75" customHeight="1" x14ac:dyDescent="0.2">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2.75" customHeight="1" x14ac:dyDescent="0.2">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2.75" customHeight="1" x14ac:dyDescent="0.2">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2.75" customHeight="1" x14ac:dyDescent="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2.75" customHeight="1" x14ac:dyDescent="0.2">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2.75" customHeight="1" x14ac:dyDescent="0.2">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2.75" customHeight="1" x14ac:dyDescent="0.2">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2.75" customHeight="1" x14ac:dyDescent="0.2">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2.75" customHeight="1" x14ac:dyDescent="0.2">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2.75" customHeight="1" x14ac:dyDescent="0.2">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2.75" customHeight="1" x14ac:dyDescent="0.2">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2.75" customHeight="1" x14ac:dyDescent="0.2">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2.75" customHeight="1" x14ac:dyDescent="0.2">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2.75" customHeight="1" x14ac:dyDescent="0.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2.75" customHeight="1" x14ac:dyDescent="0.2">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2.75" customHeight="1" x14ac:dyDescent="0.2">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2.75" customHeight="1" x14ac:dyDescent="0.2">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2.75" customHeight="1" x14ac:dyDescent="0.2">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2.75" customHeight="1" x14ac:dyDescent="0.2">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2.75" customHeight="1" x14ac:dyDescent="0.2">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2.75" customHeight="1" x14ac:dyDescent="0.2">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2.75" customHeight="1" x14ac:dyDescent="0.2">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2.75" customHeight="1" x14ac:dyDescent="0.2">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2.75" customHeight="1" x14ac:dyDescent="0.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2.75" customHeight="1" x14ac:dyDescent="0.2">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2.75" customHeight="1" x14ac:dyDescent="0.2">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2.75" customHeight="1" x14ac:dyDescent="0.2">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2.75" customHeight="1" x14ac:dyDescent="0.2">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2.75" customHeight="1" x14ac:dyDescent="0.2">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2.75" customHeight="1" x14ac:dyDescent="0.2">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2.75" customHeight="1" x14ac:dyDescent="0.2">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2.75" customHeight="1" x14ac:dyDescent="0.2">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2.75" customHeight="1" x14ac:dyDescent="0.2">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2.75" customHeight="1" x14ac:dyDescent="0.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2.75" customHeight="1" x14ac:dyDescent="0.2">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2.75" customHeight="1" x14ac:dyDescent="0.2">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2.75" customHeight="1" x14ac:dyDescent="0.2">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2.75" customHeight="1" x14ac:dyDescent="0.2">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2.75" customHeight="1" x14ac:dyDescent="0.2">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2.75" customHeight="1" x14ac:dyDescent="0.2">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2.75" customHeight="1" x14ac:dyDescent="0.2">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2.75" customHeight="1" x14ac:dyDescent="0.2">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2.75" customHeight="1" x14ac:dyDescent="0.2">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2.75" customHeight="1" x14ac:dyDescent="0.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2.75" customHeight="1" x14ac:dyDescent="0.2">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2.75" customHeight="1" x14ac:dyDescent="0.2">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2.75" customHeight="1" x14ac:dyDescent="0.2">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2.75" customHeight="1" x14ac:dyDescent="0.2">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2.75" customHeight="1" x14ac:dyDescent="0.2">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2.75" customHeight="1" x14ac:dyDescent="0.2">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2.75" customHeight="1" x14ac:dyDescent="0.2">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2.75" customHeight="1" x14ac:dyDescent="0.2">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2.75" customHeight="1" x14ac:dyDescent="0.2">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2.75" customHeight="1" x14ac:dyDescent="0.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2.75" customHeight="1" x14ac:dyDescent="0.2">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2.75" customHeight="1" x14ac:dyDescent="0.2">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2.75" customHeight="1" x14ac:dyDescent="0.2">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2.75" customHeight="1" x14ac:dyDescent="0.2">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2.75" customHeight="1" x14ac:dyDescent="0.2">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2.75" customHeight="1" x14ac:dyDescent="0.2">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2.75" customHeight="1" x14ac:dyDescent="0.2">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2.75" customHeight="1" x14ac:dyDescent="0.2">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2.75" customHeight="1" x14ac:dyDescent="0.2">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2.75" customHeight="1" x14ac:dyDescent="0.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2.75" customHeight="1" x14ac:dyDescent="0.2">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2.75" customHeight="1" x14ac:dyDescent="0.2">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2.75" customHeight="1" x14ac:dyDescent="0.2">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2.75" customHeight="1" x14ac:dyDescent="0.2">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2.75" customHeight="1" x14ac:dyDescent="0.2">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2.75" customHeight="1" x14ac:dyDescent="0.2">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2.75" customHeight="1" x14ac:dyDescent="0.2">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2.75" customHeight="1" x14ac:dyDescent="0.2">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2.75" customHeight="1" x14ac:dyDescent="0.2">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2.75" customHeight="1" x14ac:dyDescent="0.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2.75" customHeight="1" x14ac:dyDescent="0.2">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2.75" customHeight="1" x14ac:dyDescent="0.2">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2.75" customHeight="1" x14ac:dyDescent="0.2">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2.75" customHeight="1" x14ac:dyDescent="0.2">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2.75" customHeight="1" x14ac:dyDescent="0.2">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2.75" customHeight="1" x14ac:dyDescent="0.2">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2.75" customHeight="1" x14ac:dyDescent="0.2">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2.75" customHeight="1" x14ac:dyDescent="0.2">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2.75" customHeight="1" x14ac:dyDescent="0.2">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2.75" customHeight="1" x14ac:dyDescent="0.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2.75" customHeight="1" x14ac:dyDescent="0.2">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2.75" customHeight="1" x14ac:dyDescent="0.2">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2.75" customHeight="1" x14ac:dyDescent="0.2">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2.75" customHeight="1" x14ac:dyDescent="0.2">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2.75" customHeight="1" x14ac:dyDescent="0.2">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2.75" customHeight="1" x14ac:dyDescent="0.2">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2.75" customHeight="1" x14ac:dyDescent="0.2">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2.75" customHeight="1" x14ac:dyDescent="0.2">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2.75" customHeight="1" x14ac:dyDescent="0.2">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2.75" customHeight="1" x14ac:dyDescent="0.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2.75" customHeight="1" x14ac:dyDescent="0.2">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2.75" customHeight="1" x14ac:dyDescent="0.2">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2.75" customHeight="1" x14ac:dyDescent="0.2">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2.75" customHeight="1" x14ac:dyDescent="0.2">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2.75" customHeight="1" x14ac:dyDescent="0.2">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2.75" customHeight="1" x14ac:dyDescent="0.2">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2.75" customHeight="1" x14ac:dyDescent="0.2">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2.75" customHeight="1" x14ac:dyDescent="0.2">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2.75" customHeight="1" x14ac:dyDescent="0.2">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2.75" customHeight="1" x14ac:dyDescent="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2.75" customHeight="1" x14ac:dyDescent="0.2">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2.75" customHeight="1" x14ac:dyDescent="0.2">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2.75" customHeight="1" x14ac:dyDescent="0.2">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2.75" customHeight="1" x14ac:dyDescent="0.2">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2.75" customHeight="1" x14ac:dyDescent="0.2">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2.75" customHeight="1" x14ac:dyDescent="0.2">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2.75" customHeight="1" x14ac:dyDescent="0.2">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2.75" customHeight="1" x14ac:dyDescent="0.2">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2.75" customHeight="1" x14ac:dyDescent="0.2">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2.75" customHeight="1" x14ac:dyDescent="0.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2.75" customHeight="1" x14ac:dyDescent="0.2">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2.75" customHeight="1" x14ac:dyDescent="0.2">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2.75" customHeight="1" x14ac:dyDescent="0.2">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2.75" customHeight="1" x14ac:dyDescent="0.2">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2.75" customHeight="1" x14ac:dyDescent="0.2">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2.75" customHeight="1" x14ac:dyDescent="0.2">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2.75" customHeight="1" x14ac:dyDescent="0.2">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2.75" customHeight="1" x14ac:dyDescent="0.2">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2.75" customHeight="1" x14ac:dyDescent="0.2">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2.75" customHeight="1" x14ac:dyDescent="0.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2.75" customHeight="1" x14ac:dyDescent="0.2">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2.75" customHeight="1" x14ac:dyDescent="0.2">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2.75" customHeight="1" x14ac:dyDescent="0.2">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2.75" customHeight="1" x14ac:dyDescent="0.2">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2.75" customHeight="1" x14ac:dyDescent="0.2">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2.75" customHeight="1" x14ac:dyDescent="0.2">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2.75" customHeight="1" x14ac:dyDescent="0.2">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2.75" customHeight="1" x14ac:dyDescent="0.2">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2.75" customHeight="1" x14ac:dyDescent="0.2">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2.75" customHeight="1" x14ac:dyDescent="0.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2.75" customHeight="1" x14ac:dyDescent="0.2">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2.75" customHeight="1" x14ac:dyDescent="0.2">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2.75" customHeight="1" x14ac:dyDescent="0.2">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2.75" customHeight="1" x14ac:dyDescent="0.2">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2.75" customHeight="1" x14ac:dyDescent="0.2">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2.75" customHeight="1" x14ac:dyDescent="0.2">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2.75" customHeight="1" x14ac:dyDescent="0.2">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2.75" customHeight="1" x14ac:dyDescent="0.2">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2.75" customHeight="1" x14ac:dyDescent="0.2">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2.75" customHeight="1" x14ac:dyDescent="0.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2.75" customHeight="1" x14ac:dyDescent="0.2">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2.75" customHeight="1" x14ac:dyDescent="0.2">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2.75" customHeight="1" x14ac:dyDescent="0.2">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2.75" customHeight="1" x14ac:dyDescent="0.2">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2.75" customHeight="1" x14ac:dyDescent="0.2">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2.75" customHeight="1" x14ac:dyDescent="0.2">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2.75" customHeight="1" x14ac:dyDescent="0.2">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2.75" customHeight="1" x14ac:dyDescent="0.2">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2.75" customHeight="1" x14ac:dyDescent="0.2">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2.75" customHeight="1" x14ac:dyDescent="0.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2.75" customHeight="1" x14ac:dyDescent="0.2">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2.75" customHeight="1" x14ac:dyDescent="0.2">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2.75" customHeight="1" x14ac:dyDescent="0.2">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2.75" customHeight="1" x14ac:dyDescent="0.2">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2.75" customHeight="1" x14ac:dyDescent="0.2">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2.75" customHeight="1" x14ac:dyDescent="0.2">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2.75" customHeight="1" x14ac:dyDescent="0.2">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2.75" customHeight="1" x14ac:dyDescent="0.2">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2.75" customHeight="1" x14ac:dyDescent="0.2">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2.75" customHeight="1" x14ac:dyDescent="0.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2.75" customHeight="1" x14ac:dyDescent="0.2">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2.75" customHeight="1" x14ac:dyDescent="0.2">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2.75" customHeight="1" x14ac:dyDescent="0.2">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2.75" customHeight="1" x14ac:dyDescent="0.2">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2.75" customHeight="1" x14ac:dyDescent="0.2">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2.75" customHeight="1" x14ac:dyDescent="0.2">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2.75" customHeight="1" x14ac:dyDescent="0.2">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2.75" customHeight="1" x14ac:dyDescent="0.2">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2.75" customHeight="1" x14ac:dyDescent="0.2">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2.75" customHeight="1" x14ac:dyDescent="0.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2.75" customHeight="1" x14ac:dyDescent="0.2">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2.75" customHeight="1" x14ac:dyDescent="0.2">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2.75" customHeight="1" x14ac:dyDescent="0.2">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2.75" customHeight="1" x14ac:dyDescent="0.2">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2.75" customHeight="1" x14ac:dyDescent="0.2">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2.75" customHeight="1" x14ac:dyDescent="0.2">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2.75" customHeight="1" x14ac:dyDescent="0.2">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2.75" customHeight="1" x14ac:dyDescent="0.2">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2.75" customHeight="1" x14ac:dyDescent="0.2">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2.75" customHeight="1" x14ac:dyDescent="0.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2.75" customHeight="1" x14ac:dyDescent="0.2">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2.75" customHeight="1" x14ac:dyDescent="0.2">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2.75" customHeight="1" x14ac:dyDescent="0.2">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2.75" customHeight="1" x14ac:dyDescent="0.2">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2.75" customHeight="1" x14ac:dyDescent="0.2">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2.75" customHeight="1" x14ac:dyDescent="0.2">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2.75" customHeight="1" x14ac:dyDescent="0.2">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2.75" customHeight="1" x14ac:dyDescent="0.2">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2.75" customHeight="1" x14ac:dyDescent="0.2">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2.75" customHeight="1" x14ac:dyDescent="0.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2.75" customHeight="1" x14ac:dyDescent="0.2">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2.75" customHeight="1" x14ac:dyDescent="0.2">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2.75" customHeight="1" x14ac:dyDescent="0.2">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2.75" customHeight="1" x14ac:dyDescent="0.2">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2.75" customHeight="1" x14ac:dyDescent="0.2">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2.75" customHeight="1" x14ac:dyDescent="0.2">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2.75" customHeight="1" x14ac:dyDescent="0.2">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2.75" customHeight="1" x14ac:dyDescent="0.2">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2.75" customHeight="1" x14ac:dyDescent="0.2">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2.75" customHeight="1" x14ac:dyDescent="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2.75" customHeight="1" x14ac:dyDescent="0.2">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2.75" customHeight="1" x14ac:dyDescent="0.2">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2.75" customHeight="1" x14ac:dyDescent="0.2">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2.75" customHeight="1" x14ac:dyDescent="0.2">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2.75" customHeight="1" x14ac:dyDescent="0.2">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2.75" customHeight="1" x14ac:dyDescent="0.2">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2.75" customHeight="1" x14ac:dyDescent="0.2">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2.75" customHeight="1" x14ac:dyDescent="0.2">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2.75" customHeight="1" x14ac:dyDescent="0.2">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2.75" customHeight="1" x14ac:dyDescent="0.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2.75" customHeight="1" x14ac:dyDescent="0.2">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2.75" customHeight="1" x14ac:dyDescent="0.2">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2.75" customHeight="1" x14ac:dyDescent="0.2">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2.75" customHeight="1" x14ac:dyDescent="0.2">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2.75" customHeight="1" x14ac:dyDescent="0.2">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2.75" customHeight="1" x14ac:dyDescent="0.2">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2.75" customHeight="1" x14ac:dyDescent="0.2">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2.75" customHeight="1" x14ac:dyDescent="0.2">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2.75" customHeight="1" x14ac:dyDescent="0.2">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2.75" customHeight="1" x14ac:dyDescent="0.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2.75" customHeight="1" x14ac:dyDescent="0.2">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2.75" customHeight="1" x14ac:dyDescent="0.2">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2.75" customHeight="1" x14ac:dyDescent="0.2">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2.75" customHeight="1" x14ac:dyDescent="0.2">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2.75" customHeight="1" x14ac:dyDescent="0.2">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2.75" customHeight="1" x14ac:dyDescent="0.2">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2.75" customHeight="1" x14ac:dyDescent="0.2">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2.75" customHeight="1" x14ac:dyDescent="0.2">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2.75" customHeight="1" x14ac:dyDescent="0.2">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2.75" customHeight="1" x14ac:dyDescent="0.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2.75" customHeight="1" x14ac:dyDescent="0.2">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2.75" customHeight="1" x14ac:dyDescent="0.2">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2.75" customHeight="1" x14ac:dyDescent="0.2">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2.75" customHeight="1" x14ac:dyDescent="0.2">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2.75" customHeight="1" x14ac:dyDescent="0.2">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2.75" customHeight="1" x14ac:dyDescent="0.2">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2.75" customHeight="1" x14ac:dyDescent="0.2">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2.75" customHeight="1" x14ac:dyDescent="0.2">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2.75" customHeight="1" x14ac:dyDescent="0.2">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2.75" customHeight="1" x14ac:dyDescent="0.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2.75" customHeight="1" x14ac:dyDescent="0.2">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2.75" customHeight="1" x14ac:dyDescent="0.2">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2.75" customHeight="1" x14ac:dyDescent="0.2">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2.75" customHeight="1" x14ac:dyDescent="0.2">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2.75" customHeight="1" x14ac:dyDescent="0.2">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2.75" customHeight="1" x14ac:dyDescent="0.2">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2.75" customHeight="1" x14ac:dyDescent="0.2">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2.75" customHeight="1" x14ac:dyDescent="0.2">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2.75" customHeight="1" x14ac:dyDescent="0.2">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2.75" customHeight="1" x14ac:dyDescent="0.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2.75" customHeight="1" x14ac:dyDescent="0.2">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2.75" customHeight="1" x14ac:dyDescent="0.2">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2.75" customHeight="1" x14ac:dyDescent="0.2">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2.75" customHeight="1" x14ac:dyDescent="0.2">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2.75" customHeight="1" x14ac:dyDescent="0.2">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2.75" customHeight="1" x14ac:dyDescent="0.2">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2.75" customHeight="1" x14ac:dyDescent="0.2">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2.75" customHeight="1" x14ac:dyDescent="0.2">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2.75" customHeight="1" x14ac:dyDescent="0.2">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2.75" customHeight="1" x14ac:dyDescent="0.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2.75" customHeight="1" x14ac:dyDescent="0.2">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2.75" customHeight="1" x14ac:dyDescent="0.2">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2.75" customHeight="1" x14ac:dyDescent="0.2">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2.75" customHeight="1" x14ac:dyDescent="0.2">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2.75" customHeight="1" x14ac:dyDescent="0.2">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2.75" customHeight="1" x14ac:dyDescent="0.2">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2.75" customHeight="1" x14ac:dyDescent="0.2">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2.75" customHeight="1" x14ac:dyDescent="0.2">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2.75" customHeight="1" x14ac:dyDescent="0.2">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2.75" customHeight="1" x14ac:dyDescent="0.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2.75" customHeight="1" x14ac:dyDescent="0.2">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2.75" customHeight="1" x14ac:dyDescent="0.2">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2.75" customHeight="1" x14ac:dyDescent="0.2">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2.75" customHeight="1" x14ac:dyDescent="0.2">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2.75" customHeight="1" x14ac:dyDescent="0.2">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2.75" customHeight="1" x14ac:dyDescent="0.2">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2.75" customHeight="1" x14ac:dyDescent="0.2">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2.75" customHeight="1" x14ac:dyDescent="0.2">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2.75" customHeight="1" x14ac:dyDescent="0.2">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2.75" customHeight="1" x14ac:dyDescent="0.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2.75" customHeight="1" x14ac:dyDescent="0.2">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2.75" customHeight="1" x14ac:dyDescent="0.2">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2.75" customHeight="1" x14ac:dyDescent="0.2">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2.75" customHeight="1" x14ac:dyDescent="0.2">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2.75" customHeight="1" x14ac:dyDescent="0.2">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2.75" customHeight="1" x14ac:dyDescent="0.2">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2.75" customHeight="1" x14ac:dyDescent="0.2">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2.75" customHeight="1" x14ac:dyDescent="0.2">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2.75" customHeight="1" x14ac:dyDescent="0.2">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2.75" customHeight="1" x14ac:dyDescent="0.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2.75" customHeight="1" x14ac:dyDescent="0.2">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2.75" customHeight="1" x14ac:dyDescent="0.2">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2.75" customHeight="1" x14ac:dyDescent="0.2">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2.75" customHeight="1" x14ac:dyDescent="0.2">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2.75" customHeight="1" x14ac:dyDescent="0.2">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2.75" customHeight="1" x14ac:dyDescent="0.2">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2.75" customHeight="1" x14ac:dyDescent="0.2">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2.75" customHeight="1" x14ac:dyDescent="0.2">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2.75" customHeight="1" x14ac:dyDescent="0.2">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2.75" customHeight="1" x14ac:dyDescent="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2.75" customHeight="1" x14ac:dyDescent="0.2">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2.75" customHeight="1" x14ac:dyDescent="0.2">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2.75" customHeight="1" x14ac:dyDescent="0.2">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2.75" customHeight="1" x14ac:dyDescent="0.2">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2.75" customHeight="1" x14ac:dyDescent="0.2">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2.75" customHeight="1" x14ac:dyDescent="0.2">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2.75" customHeight="1" x14ac:dyDescent="0.2">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2.75" customHeight="1" x14ac:dyDescent="0.2">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2.75" customHeight="1" x14ac:dyDescent="0.2">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2.75" customHeight="1" x14ac:dyDescent="0.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2.75" customHeight="1" x14ac:dyDescent="0.2">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2.75" customHeight="1" x14ac:dyDescent="0.2">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2.75" customHeight="1" x14ac:dyDescent="0.2">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2.75" customHeight="1" x14ac:dyDescent="0.2">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2.75" customHeight="1" x14ac:dyDescent="0.2">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2.75" customHeight="1" x14ac:dyDescent="0.2">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2.75" customHeight="1" x14ac:dyDescent="0.2">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2.75" customHeight="1" x14ac:dyDescent="0.2">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2.75" customHeight="1" x14ac:dyDescent="0.2">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2.75" customHeight="1" x14ac:dyDescent="0.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2.75" customHeight="1" x14ac:dyDescent="0.2">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2.75" customHeight="1" x14ac:dyDescent="0.2">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2.75" customHeight="1" x14ac:dyDescent="0.2">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2.75" customHeight="1" x14ac:dyDescent="0.2">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2.75" customHeight="1" x14ac:dyDescent="0.2">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2.75" customHeight="1" x14ac:dyDescent="0.2">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2.75" customHeight="1" x14ac:dyDescent="0.2">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2.75" customHeight="1" x14ac:dyDescent="0.2">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2.75" customHeight="1" x14ac:dyDescent="0.2">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2.75" customHeight="1" x14ac:dyDescent="0.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2.75" customHeight="1" x14ac:dyDescent="0.2">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2.75" customHeight="1" x14ac:dyDescent="0.2">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2.75" customHeight="1" x14ac:dyDescent="0.2">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2.75" customHeight="1" x14ac:dyDescent="0.2">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2.75" customHeight="1" x14ac:dyDescent="0.2">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2.75" customHeight="1" x14ac:dyDescent="0.2">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2.75" customHeight="1" x14ac:dyDescent="0.2">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2.75" customHeight="1" x14ac:dyDescent="0.2">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2.75" customHeight="1" x14ac:dyDescent="0.2">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2.75" customHeight="1" x14ac:dyDescent="0.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2.75" customHeight="1" x14ac:dyDescent="0.2">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2.75" customHeight="1" x14ac:dyDescent="0.2">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2.75" customHeight="1" x14ac:dyDescent="0.2">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2.75" customHeight="1" x14ac:dyDescent="0.2">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2.75" customHeight="1" x14ac:dyDescent="0.2">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2.75" customHeight="1" x14ac:dyDescent="0.2">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2.75" customHeight="1" x14ac:dyDescent="0.2">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2.75" customHeight="1" x14ac:dyDescent="0.2">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2.75" customHeight="1" x14ac:dyDescent="0.2">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2.75" customHeight="1" x14ac:dyDescent="0.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2.75" customHeight="1" x14ac:dyDescent="0.2">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2.75" customHeight="1" x14ac:dyDescent="0.2">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2.75" customHeight="1" x14ac:dyDescent="0.2">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2.75" customHeight="1" x14ac:dyDescent="0.2">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2.75" customHeight="1" x14ac:dyDescent="0.2">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2.75" customHeight="1" x14ac:dyDescent="0.2">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2.75" customHeight="1" x14ac:dyDescent="0.2">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2.75" customHeight="1" x14ac:dyDescent="0.2">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2.75" customHeight="1" x14ac:dyDescent="0.2">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2.75" customHeight="1" x14ac:dyDescent="0.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2.75" customHeight="1" x14ac:dyDescent="0.2">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2.75" customHeight="1" x14ac:dyDescent="0.2">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2.75" customHeight="1" x14ac:dyDescent="0.2">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2.75" customHeight="1" x14ac:dyDescent="0.2">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2.75" customHeight="1" x14ac:dyDescent="0.2">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2.75" customHeight="1" x14ac:dyDescent="0.2">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2.75" customHeight="1" x14ac:dyDescent="0.2">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2.75" customHeight="1" x14ac:dyDescent="0.2">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2.75" customHeight="1" x14ac:dyDescent="0.2">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2.75" customHeight="1" x14ac:dyDescent="0.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2.75" customHeight="1" x14ac:dyDescent="0.2">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2.75" customHeight="1" x14ac:dyDescent="0.2">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2.75" customHeight="1" x14ac:dyDescent="0.2">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2.75" customHeight="1" x14ac:dyDescent="0.2">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2.75" customHeight="1" x14ac:dyDescent="0.2">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2.75" customHeight="1" x14ac:dyDescent="0.2">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2.75" customHeight="1" x14ac:dyDescent="0.2">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2.75" customHeight="1" x14ac:dyDescent="0.2">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2.75" customHeight="1" x14ac:dyDescent="0.2">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2.75" customHeight="1" x14ac:dyDescent="0.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2.75" customHeight="1" x14ac:dyDescent="0.2">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2.75" customHeight="1" x14ac:dyDescent="0.2">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2.75" customHeight="1" x14ac:dyDescent="0.2">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2.75" customHeight="1" x14ac:dyDescent="0.2">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2.75" customHeight="1" x14ac:dyDescent="0.2">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2.75" customHeight="1" x14ac:dyDescent="0.2">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2.75" customHeight="1" x14ac:dyDescent="0.2">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2.75" customHeight="1" x14ac:dyDescent="0.2">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2.75" customHeight="1" x14ac:dyDescent="0.2">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2.75" customHeight="1" x14ac:dyDescent="0.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2.75" customHeight="1" x14ac:dyDescent="0.2">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2.75" customHeight="1" x14ac:dyDescent="0.2">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2.75" customHeight="1" x14ac:dyDescent="0.2">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2.75" customHeight="1" x14ac:dyDescent="0.2">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2.75" customHeight="1" x14ac:dyDescent="0.2">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2.75" customHeight="1" x14ac:dyDescent="0.2">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2.75" customHeight="1" x14ac:dyDescent="0.2">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2.75" customHeight="1" x14ac:dyDescent="0.2">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2.75" customHeight="1" x14ac:dyDescent="0.2">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2.75" customHeight="1" x14ac:dyDescent="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2.75" customHeight="1" x14ac:dyDescent="0.2">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2.75" customHeight="1" x14ac:dyDescent="0.2">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2.75" customHeight="1" x14ac:dyDescent="0.2">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2.75" customHeight="1" x14ac:dyDescent="0.2">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2.75" customHeight="1" x14ac:dyDescent="0.2">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2.75" customHeight="1" x14ac:dyDescent="0.2">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2.75" customHeight="1" x14ac:dyDescent="0.2">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2.75" customHeight="1" x14ac:dyDescent="0.2">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2.75" customHeight="1" x14ac:dyDescent="0.2">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2.75" customHeight="1" x14ac:dyDescent="0.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2.75" customHeight="1" x14ac:dyDescent="0.2">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2.75" customHeight="1" x14ac:dyDescent="0.2">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2.75" customHeight="1" x14ac:dyDescent="0.2">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2.75" customHeight="1" x14ac:dyDescent="0.2">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2.75" customHeight="1" x14ac:dyDescent="0.2">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2.75" customHeight="1" x14ac:dyDescent="0.2">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2.75" customHeight="1" x14ac:dyDescent="0.2">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2.75" customHeight="1" x14ac:dyDescent="0.2">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2.75" customHeight="1" x14ac:dyDescent="0.2">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2.75" customHeight="1" x14ac:dyDescent="0.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2.75" customHeight="1" x14ac:dyDescent="0.2">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2.75" customHeight="1" x14ac:dyDescent="0.2">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2.75" customHeight="1" x14ac:dyDescent="0.2">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2.75" customHeight="1" x14ac:dyDescent="0.2">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2.75" customHeight="1" x14ac:dyDescent="0.2">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2.75" customHeight="1" x14ac:dyDescent="0.2">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2.75" customHeight="1" x14ac:dyDescent="0.2">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2.75" customHeight="1" x14ac:dyDescent="0.2">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2.75" customHeight="1" x14ac:dyDescent="0.2">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2.75" customHeight="1" x14ac:dyDescent="0.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2.75" customHeight="1" x14ac:dyDescent="0.2">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2.75" customHeight="1" x14ac:dyDescent="0.2">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2.75" customHeight="1" x14ac:dyDescent="0.2">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2.75" customHeight="1" x14ac:dyDescent="0.2">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2.75" customHeight="1" x14ac:dyDescent="0.2">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2.75" customHeight="1" x14ac:dyDescent="0.2">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2.75" customHeight="1" x14ac:dyDescent="0.2">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2.75" customHeight="1" x14ac:dyDescent="0.2">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2.75" customHeight="1" x14ac:dyDescent="0.2">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2.75" customHeight="1" x14ac:dyDescent="0.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2.75" customHeight="1" x14ac:dyDescent="0.2">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2.75" customHeight="1" x14ac:dyDescent="0.2">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2.75" customHeight="1" x14ac:dyDescent="0.2">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2.75" customHeight="1" x14ac:dyDescent="0.2">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2.75" customHeight="1" x14ac:dyDescent="0.2">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2.75" customHeight="1" x14ac:dyDescent="0.2">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2.75" customHeight="1" x14ac:dyDescent="0.2">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2.75" customHeight="1" x14ac:dyDescent="0.2">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2.75" customHeight="1" x14ac:dyDescent="0.2">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2.75" customHeight="1" x14ac:dyDescent="0.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2.75" customHeight="1" x14ac:dyDescent="0.2">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2.75" customHeight="1" x14ac:dyDescent="0.2">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2.75" customHeight="1" x14ac:dyDescent="0.2">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2.75" customHeight="1" x14ac:dyDescent="0.2">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2.75" customHeight="1" x14ac:dyDescent="0.2">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2.75" customHeight="1" x14ac:dyDescent="0.2">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2.75" customHeight="1" x14ac:dyDescent="0.2">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2.75" customHeight="1" x14ac:dyDescent="0.2">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2.75" customHeight="1" x14ac:dyDescent="0.2">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2.75" customHeight="1" x14ac:dyDescent="0.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2.75" customHeight="1" x14ac:dyDescent="0.2">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2.75" customHeight="1" x14ac:dyDescent="0.2">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2.75" customHeight="1" x14ac:dyDescent="0.2">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2.75" customHeight="1" x14ac:dyDescent="0.2">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2.75" customHeight="1" x14ac:dyDescent="0.2">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2.75" customHeight="1" x14ac:dyDescent="0.2">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2.75" customHeight="1" x14ac:dyDescent="0.2">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2.75" customHeight="1" x14ac:dyDescent="0.2">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2.75" customHeight="1" x14ac:dyDescent="0.2">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2.75" customHeight="1" x14ac:dyDescent="0.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2.75" customHeight="1" x14ac:dyDescent="0.2">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2.75" customHeight="1" x14ac:dyDescent="0.2">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2.75" customHeight="1" x14ac:dyDescent="0.2">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2.75" customHeight="1" x14ac:dyDescent="0.2">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2.75" customHeight="1" x14ac:dyDescent="0.2">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2.75" customHeight="1" x14ac:dyDescent="0.2">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2.75" customHeight="1" x14ac:dyDescent="0.2">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2.75" customHeight="1" x14ac:dyDescent="0.2">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2.75" customHeight="1" x14ac:dyDescent="0.2">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2.75" customHeight="1" x14ac:dyDescent="0.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2.75" customHeight="1" x14ac:dyDescent="0.2">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2.75" customHeight="1" x14ac:dyDescent="0.2">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2.75" customHeight="1" x14ac:dyDescent="0.2">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2.75" customHeight="1" x14ac:dyDescent="0.2">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2.75" customHeight="1" x14ac:dyDescent="0.2">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2.75" customHeight="1" x14ac:dyDescent="0.2">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2.75" customHeight="1" x14ac:dyDescent="0.2">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2.75" customHeight="1" x14ac:dyDescent="0.2">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2.75" customHeight="1" x14ac:dyDescent="0.2">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2.75" customHeight="1" x14ac:dyDescent="0.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2.75" customHeight="1" x14ac:dyDescent="0.2">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2.75" customHeight="1" x14ac:dyDescent="0.2">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2.75" customHeight="1" x14ac:dyDescent="0.2">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2.75" customHeight="1" x14ac:dyDescent="0.2">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2.75" customHeight="1" x14ac:dyDescent="0.2">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2.75" customHeight="1" x14ac:dyDescent="0.2">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2.75" customHeight="1" x14ac:dyDescent="0.2">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2.75" customHeight="1" x14ac:dyDescent="0.2">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workbookViewId="0"/>
  </sheetViews>
  <sheetFormatPr defaultColWidth="14.33203125" defaultRowHeight="15" customHeight="1" x14ac:dyDescent="0.2"/>
  <cols>
    <col min="1" max="1" width="33.1640625" customWidth="1"/>
    <col min="2" max="2" width="3.83203125" customWidth="1"/>
    <col min="3" max="3" width="0.1640625" customWidth="1"/>
    <col min="4" max="4" width="67" customWidth="1"/>
    <col min="5" max="5" width="39.1640625" customWidth="1"/>
    <col min="6" max="6" width="62" customWidth="1"/>
    <col min="7" max="7" width="1.6640625" hidden="1" customWidth="1"/>
    <col min="8" max="8" width="4.1640625" hidden="1" customWidth="1"/>
    <col min="9" max="9" width="119.33203125" customWidth="1"/>
    <col min="10" max="26" width="8.6640625" customWidth="1"/>
  </cols>
  <sheetData>
    <row r="1" spans="1:9" ht="12.75" customHeight="1" x14ac:dyDescent="0.2">
      <c r="A1" s="115"/>
      <c r="D1" s="116" t="s">
        <v>429</v>
      </c>
      <c r="F1" s="117" t="s">
        <v>430</v>
      </c>
      <c r="I1" s="118" t="s">
        <v>431</v>
      </c>
    </row>
    <row r="2" spans="1:9" ht="12.75" customHeight="1" x14ac:dyDescent="0.2">
      <c r="A2" s="115"/>
      <c r="D2" s="119" t="s">
        <v>432</v>
      </c>
    </row>
    <row r="3" spans="1:9" ht="12.75" customHeight="1" x14ac:dyDescent="0.2">
      <c r="A3" s="115"/>
      <c r="D3" s="119" t="s">
        <v>433</v>
      </c>
      <c r="F3" s="42" t="s">
        <v>22</v>
      </c>
      <c r="I3" s="41" t="s">
        <v>434</v>
      </c>
    </row>
    <row r="4" spans="1:9" ht="12.75" customHeight="1" x14ac:dyDescent="0.2">
      <c r="A4" s="115"/>
      <c r="D4" s="70" t="s">
        <v>435</v>
      </c>
      <c r="F4" s="41" t="s">
        <v>436</v>
      </c>
      <c r="I4" s="41" t="s">
        <v>437</v>
      </c>
    </row>
    <row r="5" spans="1:9" ht="12.75" customHeight="1" x14ac:dyDescent="0.2">
      <c r="A5" s="115"/>
      <c r="D5" s="119" t="s">
        <v>438</v>
      </c>
      <c r="F5" s="41" t="s">
        <v>439</v>
      </c>
      <c r="I5" s="41" t="s">
        <v>440</v>
      </c>
    </row>
    <row r="6" spans="1:9" ht="12.75" customHeight="1" x14ac:dyDescent="0.2">
      <c r="A6" s="115"/>
      <c r="D6" s="119" t="s">
        <v>441</v>
      </c>
      <c r="F6" s="41" t="s">
        <v>442</v>
      </c>
      <c r="I6" s="41" t="s">
        <v>443</v>
      </c>
    </row>
    <row r="7" spans="1:9" ht="12.75" customHeight="1" x14ac:dyDescent="0.2">
      <c r="A7" s="115"/>
      <c r="D7" s="119" t="s">
        <v>444</v>
      </c>
      <c r="F7" s="41" t="s">
        <v>445</v>
      </c>
      <c r="I7" s="41" t="s">
        <v>446</v>
      </c>
    </row>
    <row r="8" spans="1:9" ht="12.75" customHeight="1" x14ac:dyDescent="0.2">
      <c r="A8" s="115"/>
      <c r="D8" s="119" t="s">
        <v>447</v>
      </c>
      <c r="F8" s="41" t="s">
        <v>448</v>
      </c>
      <c r="I8" s="41" t="s">
        <v>449</v>
      </c>
    </row>
    <row r="9" spans="1:9" ht="12.75" customHeight="1" x14ac:dyDescent="0.2">
      <c r="A9" s="115"/>
      <c r="D9" s="119" t="s">
        <v>450</v>
      </c>
      <c r="I9" s="41" t="s">
        <v>451</v>
      </c>
    </row>
    <row r="10" spans="1:9" ht="12.75" customHeight="1" x14ac:dyDescent="0.2">
      <c r="A10" s="115"/>
      <c r="D10" s="119" t="s">
        <v>452</v>
      </c>
      <c r="F10" s="118" t="s">
        <v>453</v>
      </c>
      <c r="I10" s="41" t="s">
        <v>454</v>
      </c>
    </row>
    <row r="11" spans="1:9" ht="12.75" customHeight="1" x14ac:dyDescent="0.2">
      <c r="A11" s="115"/>
    </row>
    <row r="12" spans="1:9" ht="12.75" customHeight="1" x14ac:dyDescent="0.2">
      <c r="A12" s="115"/>
      <c r="D12" s="116" t="s">
        <v>455</v>
      </c>
      <c r="F12" s="42" t="s">
        <v>456</v>
      </c>
      <c r="I12" s="117" t="s">
        <v>294</v>
      </c>
    </row>
    <row r="13" spans="1:9" ht="12.75" customHeight="1" x14ac:dyDescent="0.2">
      <c r="D13" s="119" t="s">
        <v>457</v>
      </c>
      <c r="F13" s="41" t="s">
        <v>436</v>
      </c>
      <c r="I13" s="41" t="s">
        <v>458</v>
      </c>
    </row>
    <row r="14" spans="1:9" ht="12.75" customHeight="1" x14ac:dyDescent="0.2">
      <c r="A14" s="115" t="s">
        <v>459</v>
      </c>
      <c r="D14" s="70" t="s">
        <v>460</v>
      </c>
      <c r="F14" s="41" t="s">
        <v>461</v>
      </c>
      <c r="I14" s="41" t="s">
        <v>462</v>
      </c>
    </row>
    <row r="15" spans="1:9" ht="12.75" customHeight="1" x14ac:dyDescent="0.2">
      <c r="A15" s="115" t="s">
        <v>463</v>
      </c>
      <c r="D15" s="119" t="s">
        <v>464</v>
      </c>
      <c r="F15" s="41" t="s">
        <v>465</v>
      </c>
      <c r="I15" s="41" t="s">
        <v>466</v>
      </c>
    </row>
    <row r="16" spans="1:9" ht="12.75" customHeight="1" x14ac:dyDescent="0.2">
      <c r="A16" s="115" t="s">
        <v>467</v>
      </c>
      <c r="D16" s="120" t="s">
        <v>468</v>
      </c>
      <c r="F16" s="41" t="s">
        <v>445</v>
      </c>
      <c r="I16" s="41" t="s">
        <v>469</v>
      </c>
    </row>
    <row r="17" spans="1:9" ht="12.75" customHeight="1" x14ac:dyDescent="0.2">
      <c r="A17" s="115" t="s">
        <v>470</v>
      </c>
      <c r="D17" s="119" t="s">
        <v>471</v>
      </c>
      <c r="F17" s="41" t="s">
        <v>448</v>
      </c>
      <c r="I17" s="41" t="s">
        <v>472</v>
      </c>
    </row>
    <row r="18" spans="1:9" ht="12.75" customHeight="1" x14ac:dyDescent="0.2">
      <c r="A18" s="115" t="s">
        <v>473</v>
      </c>
      <c r="D18" s="119" t="s">
        <v>474</v>
      </c>
    </row>
    <row r="19" spans="1:9" ht="12.75" customHeight="1" x14ac:dyDescent="0.2">
      <c r="A19" s="115" t="s">
        <v>475</v>
      </c>
      <c r="D19" s="119" t="s">
        <v>476</v>
      </c>
      <c r="I19" s="118" t="s">
        <v>477</v>
      </c>
    </row>
    <row r="20" spans="1:9" ht="12.75" customHeight="1" x14ac:dyDescent="0.2">
      <c r="A20" s="115" t="s">
        <v>478</v>
      </c>
      <c r="D20" s="70" t="s">
        <v>479</v>
      </c>
      <c r="I20" s="41" t="s">
        <v>480</v>
      </c>
    </row>
    <row r="21" spans="1:9" ht="12.75" customHeight="1" x14ac:dyDescent="0.2">
      <c r="A21" s="115" t="s">
        <v>481</v>
      </c>
      <c r="D21" s="70" t="s">
        <v>482</v>
      </c>
      <c r="E21" s="121"/>
      <c r="I21" s="41" t="s">
        <v>483</v>
      </c>
    </row>
    <row r="22" spans="1:9" ht="12.75" customHeight="1" x14ac:dyDescent="0.2">
      <c r="A22" s="115" t="s">
        <v>484</v>
      </c>
      <c r="E22" s="121"/>
      <c r="I22" s="41" t="s">
        <v>485</v>
      </c>
    </row>
    <row r="23" spans="1:9" ht="12.75" customHeight="1" x14ac:dyDescent="0.2">
      <c r="A23" s="115" t="s">
        <v>486</v>
      </c>
      <c r="D23" s="116" t="s">
        <v>487</v>
      </c>
      <c r="E23" s="122"/>
      <c r="I23" s="41" t="s">
        <v>488</v>
      </c>
    </row>
    <row r="24" spans="1:9" ht="12.75" customHeight="1" x14ac:dyDescent="0.2">
      <c r="A24" s="115" t="s">
        <v>489</v>
      </c>
      <c r="D24" s="41" t="s">
        <v>490</v>
      </c>
      <c r="E24" s="123"/>
      <c r="I24" s="41" t="s">
        <v>491</v>
      </c>
    </row>
    <row r="25" spans="1:9" ht="12.75" customHeight="1" x14ac:dyDescent="0.2">
      <c r="A25" s="115" t="s">
        <v>492</v>
      </c>
      <c r="D25" s="41" t="s">
        <v>493</v>
      </c>
    </row>
    <row r="26" spans="1:9" ht="12.75" customHeight="1" x14ac:dyDescent="0.2">
      <c r="D26" s="41" t="s">
        <v>494</v>
      </c>
      <c r="I26" s="118" t="s">
        <v>495</v>
      </c>
    </row>
    <row r="27" spans="1:9" ht="12.75" customHeight="1" x14ac:dyDescent="0.2">
      <c r="A27" s="115" t="s">
        <v>496</v>
      </c>
      <c r="D27" s="41" t="s">
        <v>497</v>
      </c>
      <c r="I27" s="41" t="s">
        <v>498</v>
      </c>
    </row>
    <row r="28" spans="1:9" ht="12.75" customHeight="1" x14ac:dyDescent="0.2">
      <c r="A28" s="115" t="s">
        <v>499</v>
      </c>
      <c r="D28" s="41" t="s">
        <v>500</v>
      </c>
      <c r="I28" s="41" t="s">
        <v>501</v>
      </c>
    </row>
    <row r="29" spans="1:9" ht="12.75" customHeight="1" x14ac:dyDescent="0.2">
      <c r="A29" s="115" t="s">
        <v>502</v>
      </c>
      <c r="I29" s="41" t="s">
        <v>503</v>
      </c>
    </row>
    <row r="30" spans="1:9" ht="12.75" customHeight="1" x14ac:dyDescent="0.2">
      <c r="A30" s="115" t="s">
        <v>504</v>
      </c>
      <c r="E30" s="42" t="s">
        <v>505</v>
      </c>
      <c r="I30" s="41" t="s">
        <v>506</v>
      </c>
    </row>
    <row r="31" spans="1:9" ht="12.75" customHeight="1" x14ac:dyDescent="0.2">
      <c r="A31" s="115" t="s">
        <v>507</v>
      </c>
      <c r="E31" s="42" t="s">
        <v>2</v>
      </c>
    </row>
    <row r="32" spans="1:9" ht="12.75" customHeight="1" x14ac:dyDescent="0.2">
      <c r="A32" s="115" t="s">
        <v>508</v>
      </c>
      <c r="E32" s="42" t="s">
        <v>509</v>
      </c>
      <c r="I32" s="118" t="s">
        <v>510</v>
      </c>
    </row>
    <row r="33" spans="1:9" ht="12.75" customHeight="1" x14ac:dyDescent="0.2">
      <c r="A33" s="115" t="s">
        <v>511</v>
      </c>
      <c r="E33" s="42" t="s">
        <v>512</v>
      </c>
      <c r="I33" s="41" t="s">
        <v>513</v>
      </c>
    </row>
    <row r="34" spans="1:9" ht="12.75" customHeight="1" x14ac:dyDescent="0.2">
      <c r="A34" s="115" t="s">
        <v>514</v>
      </c>
      <c r="E34" s="42" t="s">
        <v>515</v>
      </c>
      <c r="I34" s="41" t="s">
        <v>516</v>
      </c>
    </row>
    <row r="35" spans="1:9" ht="12.75" customHeight="1" x14ac:dyDescent="0.2">
      <c r="A35" s="115" t="s">
        <v>517</v>
      </c>
      <c r="I35" s="41" t="s">
        <v>518</v>
      </c>
    </row>
    <row r="36" spans="1:9" ht="12.75" customHeight="1" x14ac:dyDescent="0.2">
      <c r="A36" s="115" t="s">
        <v>519</v>
      </c>
      <c r="I36" s="41" t="s">
        <v>520</v>
      </c>
    </row>
    <row r="37" spans="1:9" ht="12.75" customHeight="1" x14ac:dyDescent="0.2">
      <c r="A37" s="115" t="s">
        <v>521</v>
      </c>
      <c r="I37" s="41"/>
    </row>
    <row r="38" spans="1:9" ht="12.75" customHeight="1" x14ac:dyDescent="0.2">
      <c r="A38" s="115" t="s">
        <v>522</v>
      </c>
      <c r="I38" s="124" t="s">
        <v>523</v>
      </c>
    </row>
    <row r="39" spans="1:9" ht="12.75" customHeight="1" x14ac:dyDescent="0.2">
      <c r="I39" s="41" t="s">
        <v>524</v>
      </c>
    </row>
    <row r="40" spans="1:9" ht="12.75" customHeight="1" x14ac:dyDescent="0.2">
      <c r="I40" s="41" t="s">
        <v>525</v>
      </c>
    </row>
    <row r="41" spans="1:9" ht="12.75" customHeight="1" x14ac:dyDescent="0.2">
      <c r="I41" s="41" t="s">
        <v>526</v>
      </c>
    </row>
    <row r="42" spans="1:9" ht="12.75" customHeight="1" x14ac:dyDescent="0.2"/>
    <row r="43" spans="1:9" ht="12.75" customHeight="1" x14ac:dyDescent="0.2"/>
    <row r="44" spans="1:9" ht="12.75" customHeight="1" x14ac:dyDescent="0.2"/>
    <row r="45" spans="1:9" ht="12.75" customHeight="1" x14ac:dyDescent="0.2"/>
    <row r="46" spans="1:9" ht="12.75" customHeight="1" x14ac:dyDescent="0.2"/>
    <row r="47" spans="1:9" ht="12.75" customHeight="1" x14ac:dyDescent="0.2"/>
    <row r="48" spans="1:9"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hyperlinks>
    <hyperlink ref="D16" r:id="rId1" xr:uid="{00000000-0004-0000-0300-000000000000}"/>
  </hyperlinks>
  <pageMargins left="0.7" right="0.7" top="0.75" bottom="0.75" header="0" footer="0"/>
  <pageSetup orientation="portrait"/>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33203125" defaultRowHeight="15" customHeight="1" x14ac:dyDescent="0.2"/>
  <cols>
    <col min="1" max="1" width="121" customWidth="1"/>
    <col min="2" max="2" width="78.6640625" customWidth="1"/>
    <col min="3" max="26" width="9.33203125" customWidth="1"/>
  </cols>
  <sheetData>
    <row r="1" spans="1:26" ht="12.75" customHeight="1" x14ac:dyDescent="0.2">
      <c r="A1" s="41" t="s">
        <v>86</v>
      </c>
      <c r="B1" s="125" t="s">
        <v>527</v>
      </c>
      <c r="C1" s="41"/>
      <c r="D1" s="41"/>
      <c r="E1" s="41"/>
      <c r="F1" s="41"/>
      <c r="G1" s="41"/>
      <c r="H1" s="41"/>
      <c r="I1" s="41"/>
      <c r="J1" s="41"/>
      <c r="K1" s="41"/>
      <c r="L1" s="41"/>
      <c r="M1" s="41"/>
      <c r="N1" s="41"/>
      <c r="O1" s="41"/>
      <c r="P1" s="41"/>
      <c r="Q1" s="41"/>
      <c r="R1" s="41"/>
      <c r="S1" s="41"/>
      <c r="T1" s="41"/>
      <c r="U1" s="41"/>
      <c r="V1" s="41"/>
      <c r="W1" s="41"/>
      <c r="X1" s="41"/>
      <c r="Y1" s="41"/>
      <c r="Z1" s="41"/>
    </row>
    <row r="2" spans="1:26" ht="12.75" customHeight="1" x14ac:dyDescent="0.2">
      <c r="A2" s="41" t="s">
        <v>528</v>
      </c>
      <c r="B2" s="126" t="s">
        <v>529</v>
      </c>
      <c r="C2" s="41"/>
      <c r="D2" s="41"/>
      <c r="E2" s="41"/>
      <c r="F2" s="41"/>
      <c r="G2" s="41"/>
      <c r="H2" s="41"/>
      <c r="I2" s="41"/>
      <c r="J2" s="41"/>
      <c r="K2" s="41"/>
      <c r="L2" s="41"/>
      <c r="M2" s="41"/>
      <c r="N2" s="41"/>
      <c r="O2" s="41"/>
      <c r="P2" s="41"/>
      <c r="Q2" s="41"/>
      <c r="R2" s="41"/>
      <c r="S2" s="41"/>
      <c r="T2" s="41"/>
      <c r="U2" s="41"/>
      <c r="V2" s="41"/>
      <c r="W2" s="41"/>
      <c r="X2" s="41"/>
      <c r="Y2" s="41"/>
      <c r="Z2" s="41"/>
    </row>
    <row r="3" spans="1:26" ht="12.75" customHeight="1" x14ac:dyDescent="0.2">
      <c r="A3" s="41" t="s">
        <v>530</v>
      </c>
      <c r="B3" s="126" t="s">
        <v>531</v>
      </c>
      <c r="C3" s="41"/>
      <c r="D3" s="41"/>
      <c r="E3" s="41"/>
      <c r="F3" s="41"/>
      <c r="G3" s="41"/>
      <c r="H3" s="41"/>
      <c r="I3" s="41"/>
      <c r="J3" s="41"/>
      <c r="K3" s="41"/>
      <c r="L3" s="41"/>
      <c r="M3" s="41"/>
      <c r="N3" s="41"/>
      <c r="O3" s="41"/>
      <c r="P3" s="41"/>
      <c r="Q3" s="41"/>
      <c r="R3" s="41"/>
      <c r="S3" s="41"/>
      <c r="T3" s="41"/>
      <c r="U3" s="41"/>
      <c r="V3" s="41"/>
      <c r="W3" s="41"/>
      <c r="X3" s="41"/>
      <c r="Y3" s="41"/>
      <c r="Z3" s="41"/>
    </row>
    <row r="4" spans="1:26" ht="12.75" customHeight="1" x14ac:dyDescent="0.2">
      <c r="A4" s="41" t="s">
        <v>532</v>
      </c>
      <c r="B4" s="126" t="s">
        <v>533</v>
      </c>
      <c r="C4" s="41"/>
      <c r="D4" s="41"/>
      <c r="E4" s="41"/>
      <c r="F4" s="41"/>
      <c r="G4" s="41"/>
      <c r="H4" s="41"/>
      <c r="I4" s="41"/>
      <c r="J4" s="41"/>
      <c r="K4" s="41"/>
      <c r="L4" s="41"/>
      <c r="M4" s="41"/>
      <c r="N4" s="41"/>
      <c r="O4" s="41"/>
      <c r="P4" s="41"/>
      <c r="Q4" s="41"/>
      <c r="R4" s="41"/>
      <c r="S4" s="41"/>
      <c r="T4" s="41"/>
      <c r="U4" s="41"/>
      <c r="V4" s="41"/>
      <c r="W4" s="41"/>
      <c r="X4" s="41"/>
      <c r="Y4" s="41"/>
      <c r="Z4" s="41"/>
    </row>
    <row r="5" spans="1:26" ht="12.75" customHeight="1" x14ac:dyDescent="0.2">
      <c r="A5" s="41" t="s">
        <v>534</v>
      </c>
      <c r="B5" s="126" t="s">
        <v>535</v>
      </c>
      <c r="C5" s="41"/>
      <c r="D5" s="41"/>
      <c r="E5" s="41"/>
      <c r="F5" s="41"/>
      <c r="G5" s="41"/>
      <c r="H5" s="41"/>
      <c r="I5" s="41"/>
      <c r="J5" s="41"/>
      <c r="K5" s="41"/>
      <c r="L5" s="41"/>
      <c r="M5" s="41"/>
      <c r="N5" s="41"/>
      <c r="O5" s="41"/>
      <c r="P5" s="41"/>
      <c r="Q5" s="41"/>
      <c r="R5" s="41"/>
      <c r="S5" s="41"/>
      <c r="T5" s="41"/>
      <c r="U5" s="41"/>
      <c r="V5" s="41"/>
      <c r="W5" s="41"/>
      <c r="X5" s="41"/>
      <c r="Y5" s="41"/>
      <c r="Z5" s="41"/>
    </row>
    <row r="6" spans="1:26" ht="12.75" customHeight="1" x14ac:dyDescent="0.2">
      <c r="A6" s="41" t="s">
        <v>91</v>
      </c>
      <c r="B6" s="126" t="s">
        <v>536</v>
      </c>
      <c r="C6" s="41"/>
      <c r="D6" s="41"/>
      <c r="E6" s="41"/>
      <c r="F6" s="41"/>
      <c r="G6" s="41"/>
      <c r="H6" s="41"/>
      <c r="I6" s="41"/>
      <c r="J6" s="41"/>
      <c r="K6" s="41"/>
      <c r="L6" s="41"/>
      <c r="M6" s="41"/>
      <c r="N6" s="41"/>
      <c r="O6" s="41"/>
      <c r="P6" s="41"/>
      <c r="Q6" s="41"/>
      <c r="R6" s="41"/>
      <c r="S6" s="41"/>
      <c r="T6" s="41"/>
      <c r="U6" s="41"/>
      <c r="V6" s="41"/>
      <c r="W6" s="41"/>
      <c r="X6" s="41"/>
      <c r="Y6" s="41"/>
      <c r="Z6" s="41"/>
    </row>
    <row r="7" spans="1:26" ht="12.75" customHeight="1" x14ac:dyDescent="0.2">
      <c r="A7" s="41" t="s">
        <v>537</v>
      </c>
      <c r="B7" s="126" t="s">
        <v>538</v>
      </c>
      <c r="C7" s="41"/>
      <c r="D7" s="41"/>
      <c r="E7" s="41"/>
      <c r="F7" s="41"/>
      <c r="G7" s="41"/>
      <c r="H7" s="41"/>
      <c r="I7" s="41"/>
      <c r="J7" s="41"/>
      <c r="K7" s="41"/>
      <c r="L7" s="41"/>
      <c r="M7" s="41"/>
      <c r="N7" s="41"/>
      <c r="O7" s="41"/>
      <c r="P7" s="41"/>
      <c r="Q7" s="41"/>
      <c r="R7" s="41"/>
      <c r="S7" s="41"/>
      <c r="T7" s="41"/>
      <c r="U7" s="41"/>
      <c r="V7" s="41"/>
      <c r="W7" s="41"/>
      <c r="X7" s="41"/>
      <c r="Y7" s="41"/>
      <c r="Z7" s="41"/>
    </row>
    <row r="8" spans="1:26" ht="12.75" customHeight="1" x14ac:dyDescent="0.2">
      <c r="A8" s="41" t="s">
        <v>539</v>
      </c>
      <c r="B8" s="126" t="s">
        <v>540</v>
      </c>
      <c r="C8" s="41"/>
      <c r="D8" s="41"/>
      <c r="E8" s="41"/>
      <c r="F8" s="41"/>
      <c r="G8" s="41"/>
      <c r="H8" s="41"/>
      <c r="I8" s="41"/>
      <c r="J8" s="41"/>
      <c r="K8" s="41"/>
      <c r="L8" s="41"/>
      <c r="M8" s="41"/>
      <c r="N8" s="41"/>
      <c r="O8" s="41"/>
      <c r="P8" s="41"/>
      <c r="Q8" s="41"/>
      <c r="R8" s="41"/>
      <c r="S8" s="41"/>
      <c r="T8" s="41"/>
      <c r="U8" s="41"/>
      <c r="V8" s="41"/>
      <c r="W8" s="41"/>
      <c r="X8" s="41"/>
      <c r="Y8" s="41"/>
      <c r="Z8" s="41"/>
    </row>
    <row r="9" spans="1:26" ht="12.75" customHeight="1" x14ac:dyDescent="0.2">
      <c r="A9" s="41" t="s">
        <v>541</v>
      </c>
      <c r="B9" s="126" t="s">
        <v>542</v>
      </c>
      <c r="C9" s="41"/>
      <c r="D9" s="41"/>
      <c r="E9" s="41"/>
      <c r="F9" s="41"/>
      <c r="G9" s="41"/>
      <c r="H9" s="41"/>
      <c r="I9" s="41"/>
      <c r="J9" s="41"/>
      <c r="K9" s="41"/>
      <c r="L9" s="41"/>
      <c r="M9" s="41"/>
      <c r="N9" s="41"/>
      <c r="O9" s="41"/>
      <c r="P9" s="41"/>
      <c r="Q9" s="41"/>
      <c r="R9" s="41"/>
      <c r="S9" s="41"/>
      <c r="T9" s="41"/>
      <c r="U9" s="41"/>
      <c r="V9" s="41"/>
      <c r="W9" s="41"/>
      <c r="X9" s="41"/>
      <c r="Y9" s="41"/>
      <c r="Z9" s="41"/>
    </row>
    <row r="10" spans="1:26" ht="12.75" customHeight="1" x14ac:dyDescent="0.2">
      <c r="A10" s="41" t="s">
        <v>543</v>
      </c>
      <c r="B10" s="126" t="s">
        <v>544</v>
      </c>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ht="12.75" customHeight="1" x14ac:dyDescent="0.2">
      <c r="A11" s="41" t="s">
        <v>545</v>
      </c>
      <c r="B11" s="126" t="s">
        <v>546</v>
      </c>
      <c r="C11" s="41"/>
      <c r="D11" s="41"/>
      <c r="E11" s="41"/>
      <c r="F11" s="41"/>
      <c r="G11" s="41"/>
      <c r="H11" s="41"/>
      <c r="I11" s="41"/>
      <c r="J11" s="41"/>
      <c r="K11" s="41"/>
      <c r="L11" s="41"/>
      <c r="M11" s="41"/>
      <c r="N11" s="41"/>
      <c r="O11" s="41"/>
      <c r="P11" s="41"/>
      <c r="Q11" s="41"/>
      <c r="R11" s="41"/>
      <c r="S11" s="41"/>
      <c r="T11" s="41"/>
      <c r="U11" s="41"/>
      <c r="V11" s="41"/>
      <c r="W11" s="41"/>
      <c r="X11" s="41"/>
      <c r="Y11" s="41"/>
      <c r="Z11" s="41"/>
    </row>
    <row r="12" spans="1:26" ht="12.75" customHeight="1" x14ac:dyDescent="0.2">
      <c r="A12" s="41" t="s">
        <v>24</v>
      </c>
      <c r="B12" s="126" t="s">
        <v>547</v>
      </c>
      <c r="C12" s="41"/>
      <c r="D12" s="41"/>
      <c r="E12" s="41"/>
      <c r="F12" s="41"/>
      <c r="G12" s="41"/>
      <c r="H12" s="41"/>
      <c r="I12" s="41"/>
      <c r="J12" s="41"/>
      <c r="K12" s="41"/>
      <c r="L12" s="41"/>
      <c r="M12" s="41"/>
      <c r="N12" s="41"/>
      <c r="O12" s="41"/>
      <c r="P12" s="41"/>
      <c r="Q12" s="41"/>
      <c r="R12" s="41"/>
      <c r="S12" s="41"/>
      <c r="T12" s="41"/>
      <c r="U12" s="41"/>
      <c r="V12" s="41"/>
      <c r="W12" s="41"/>
      <c r="X12" s="41"/>
      <c r="Y12" s="41"/>
      <c r="Z12" s="41"/>
    </row>
    <row r="13" spans="1:26" ht="12.75" customHeight="1" x14ac:dyDescent="0.2">
      <c r="A13" s="41" t="s">
        <v>99</v>
      </c>
      <c r="B13" s="126" t="s">
        <v>548</v>
      </c>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ht="12.75" customHeight="1" x14ac:dyDescent="0.2">
      <c r="A14" s="41" t="s">
        <v>100</v>
      </c>
      <c r="B14" s="126" t="s">
        <v>549</v>
      </c>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ht="12.75" customHeight="1" x14ac:dyDescent="0.2">
      <c r="A15" s="41" t="s">
        <v>102</v>
      </c>
      <c r="B15" s="126" t="s">
        <v>550</v>
      </c>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ht="12.75" customHeight="1" x14ac:dyDescent="0.2">
      <c r="A16" s="41" t="s">
        <v>551</v>
      </c>
      <c r="B16" s="126" t="s">
        <v>552</v>
      </c>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12.75" customHeight="1" x14ac:dyDescent="0.2">
      <c r="A17" s="41" t="s">
        <v>105</v>
      </c>
      <c r="B17" s="126" t="s">
        <v>553</v>
      </c>
      <c r="C17" s="41"/>
      <c r="D17" s="41"/>
      <c r="E17" s="41"/>
      <c r="F17" s="41"/>
      <c r="G17" s="41"/>
      <c r="H17" s="41"/>
      <c r="I17" s="41"/>
      <c r="J17" s="41"/>
      <c r="K17" s="41"/>
      <c r="L17" s="41"/>
      <c r="M17" s="41"/>
      <c r="N17" s="41"/>
      <c r="O17" s="41"/>
      <c r="P17" s="41"/>
      <c r="Q17" s="41"/>
      <c r="R17" s="41"/>
      <c r="S17" s="41"/>
      <c r="T17" s="41"/>
      <c r="U17" s="41"/>
      <c r="V17" s="41"/>
      <c r="W17" s="41"/>
      <c r="X17" s="41"/>
      <c r="Y17" s="41"/>
      <c r="Z17" s="41"/>
    </row>
    <row r="18" spans="1:26" ht="12.75" customHeight="1" x14ac:dyDescent="0.2">
      <c r="A18" s="41" t="s">
        <v>106</v>
      </c>
      <c r="B18" s="126" t="s">
        <v>554</v>
      </c>
      <c r="C18" s="41"/>
      <c r="D18" s="41"/>
      <c r="E18" s="41"/>
      <c r="F18" s="41"/>
      <c r="G18" s="41"/>
      <c r="H18" s="41"/>
      <c r="I18" s="41"/>
      <c r="J18" s="41"/>
      <c r="K18" s="41"/>
      <c r="L18" s="41"/>
      <c r="M18" s="41"/>
      <c r="N18" s="41"/>
      <c r="O18" s="41"/>
      <c r="P18" s="41"/>
      <c r="Q18" s="41"/>
      <c r="R18" s="41"/>
      <c r="S18" s="41"/>
      <c r="T18" s="41"/>
      <c r="U18" s="41"/>
      <c r="V18" s="41"/>
      <c r="W18" s="41"/>
      <c r="X18" s="41"/>
      <c r="Y18" s="41"/>
      <c r="Z18" s="41"/>
    </row>
    <row r="19" spans="1:26" ht="12.75" customHeight="1" x14ac:dyDescent="0.2">
      <c r="A19" s="41" t="s">
        <v>108</v>
      </c>
      <c r="B19" s="126" t="s">
        <v>555</v>
      </c>
      <c r="C19" s="41"/>
      <c r="D19" s="41"/>
      <c r="E19" s="41"/>
      <c r="F19" s="41"/>
      <c r="G19" s="41"/>
      <c r="H19" s="41"/>
      <c r="I19" s="41"/>
      <c r="J19" s="41"/>
      <c r="K19" s="41"/>
      <c r="L19" s="41"/>
      <c r="M19" s="41"/>
      <c r="N19" s="41"/>
      <c r="O19" s="41"/>
      <c r="P19" s="41"/>
      <c r="Q19" s="41"/>
      <c r="R19" s="41"/>
      <c r="S19" s="41"/>
      <c r="T19" s="41"/>
      <c r="U19" s="41"/>
      <c r="V19" s="41"/>
      <c r="W19" s="41"/>
      <c r="X19" s="41"/>
      <c r="Y19" s="41"/>
      <c r="Z19" s="41"/>
    </row>
    <row r="20" spans="1:26" ht="12.75" customHeight="1" x14ac:dyDescent="0.2">
      <c r="A20" s="41" t="s">
        <v>110</v>
      </c>
      <c r="B20" s="126" t="s">
        <v>556</v>
      </c>
      <c r="C20" s="41"/>
      <c r="D20" s="41"/>
      <c r="E20" s="41"/>
      <c r="F20" s="41"/>
      <c r="G20" s="41"/>
      <c r="H20" s="41"/>
      <c r="I20" s="41"/>
      <c r="J20" s="41"/>
      <c r="K20" s="41"/>
      <c r="L20" s="41"/>
      <c r="M20" s="41"/>
      <c r="N20" s="41"/>
      <c r="O20" s="41"/>
      <c r="P20" s="41"/>
      <c r="Q20" s="41"/>
      <c r="R20" s="41"/>
      <c r="S20" s="41"/>
      <c r="T20" s="41"/>
      <c r="U20" s="41"/>
      <c r="V20" s="41"/>
      <c r="W20" s="41"/>
      <c r="X20" s="41"/>
      <c r="Y20" s="41"/>
      <c r="Z20" s="41"/>
    </row>
    <row r="21" spans="1:26" ht="12.75" customHeight="1" x14ac:dyDescent="0.2">
      <c r="A21" s="41" t="s">
        <v>112</v>
      </c>
      <c r="B21" s="126" t="s">
        <v>554</v>
      </c>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6" ht="12.75" customHeight="1" x14ac:dyDescent="0.2">
      <c r="A22" s="41" t="s">
        <v>114</v>
      </c>
      <c r="B22" s="126" t="s">
        <v>555</v>
      </c>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6" ht="12.75" customHeight="1" x14ac:dyDescent="0.2">
      <c r="A23" s="41" t="s">
        <v>115</v>
      </c>
      <c r="B23" s="126" t="s">
        <v>556</v>
      </c>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6" ht="12.75" customHeight="1" x14ac:dyDescent="0.2">
      <c r="A24" s="41" t="s">
        <v>116</v>
      </c>
      <c r="B24" s="126" t="s">
        <v>557</v>
      </c>
      <c r="C24" s="41"/>
      <c r="D24" s="41"/>
      <c r="E24" s="41"/>
      <c r="F24" s="41"/>
      <c r="G24" s="41"/>
      <c r="H24" s="41"/>
      <c r="I24" s="41"/>
      <c r="J24" s="41"/>
      <c r="K24" s="41"/>
      <c r="L24" s="41"/>
      <c r="M24" s="41"/>
      <c r="N24" s="41"/>
      <c r="O24" s="41"/>
      <c r="P24" s="41"/>
      <c r="Q24" s="41"/>
      <c r="R24" s="41"/>
      <c r="S24" s="41"/>
      <c r="T24" s="41"/>
      <c r="U24" s="41"/>
      <c r="V24" s="41"/>
      <c r="W24" s="41"/>
      <c r="X24" s="41"/>
      <c r="Y24" s="41"/>
      <c r="Z24" s="41"/>
    </row>
    <row r="25" spans="1:26" ht="12.75" customHeight="1" x14ac:dyDescent="0.2">
      <c r="A25" s="41" t="s">
        <v>117</v>
      </c>
      <c r="B25" s="126" t="s">
        <v>558</v>
      </c>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6" ht="12.75" customHeight="1" x14ac:dyDescent="0.2">
      <c r="A26" s="41" t="s">
        <v>118</v>
      </c>
      <c r="B26" s="126" t="s">
        <v>559</v>
      </c>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6" ht="12.75" customHeight="1" x14ac:dyDescent="0.2">
      <c r="A27" s="41" t="s">
        <v>119</v>
      </c>
      <c r="B27" s="126" t="s">
        <v>560</v>
      </c>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6" ht="12.75" customHeight="1" x14ac:dyDescent="0.2">
      <c r="A28" s="41" t="s">
        <v>120</v>
      </c>
      <c r="B28" s="126" t="s">
        <v>561</v>
      </c>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2.75" customHeight="1" x14ac:dyDescent="0.2">
      <c r="A29" s="41" t="s">
        <v>121</v>
      </c>
      <c r="B29" s="126" t="s">
        <v>562</v>
      </c>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2.75" customHeight="1" x14ac:dyDescent="0.2">
      <c r="A30" s="41" t="s">
        <v>122</v>
      </c>
      <c r="B30" s="126" t="s">
        <v>563</v>
      </c>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2.75" customHeight="1" x14ac:dyDescent="0.2">
      <c r="A31" s="41" t="s">
        <v>123</v>
      </c>
      <c r="B31" s="126" t="s">
        <v>564</v>
      </c>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2.75" customHeight="1" x14ac:dyDescent="0.2">
      <c r="A32" s="41" t="s">
        <v>124</v>
      </c>
      <c r="B32" s="126" t="s">
        <v>565</v>
      </c>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2.75" customHeight="1" x14ac:dyDescent="0.2">
      <c r="A33" s="41" t="s">
        <v>125</v>
      </c>
      <c r="B33" s="126" t="s">
        <v>566</v>
      </c>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2.75" customHeight="1" x14ac:dyDescent="0.2">
      <c r="A34" s="41" t="s">
        <v>126</v>
      </c>
      <c r="B34" s="126" t="s">
        <v>567</v>
      </c>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2.75" customHeight="1" x14ac:dyDescent="0.2">
      <c r="A35" s="41" t="s">
        <v>127</v>
      </c>
      <c r="B35" s="126" t="s">
        <v>568</v>
      </c>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2.75" customHeight="1" x14ac:dyDescent="0.2">
      <c r="A36" s="41" t="s">
        <v>128</v>
      </c>
      <c r="B36" s="126" t="s">
        <v>569</v>
      </c>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2.75" customHeight="1" x14ac:dyDescent="0.2">
      <c r="A37" s="41" t="s">
        <v>570</v>
      </c>
      <c r="B37" s="126" t="s">
        <v>571</v>
      </c>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2.75" customHeight="1" x14ac:dyDescent="0.2">
      <c r="A38" s="41" t="s">
        <v>29</v>
      </c>
      <c r="B38" s="126" t="s">
        <v>572</v>
      </c>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2.75" customHeight="1" x14ac:dyDescent="0.2">
      <c r="A39" s="41" t="s">
        <v>130</v>
      </c>
      <c r="B39" s="126" t="s">
        <v>573</v>
      </c>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2.75" customHeight="1" x14ac:dyDescent="0.2">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2.75" customHeight="1" x14ac:dyDescent="0.2">
      <c r="A41" s="41" t="s">
        <v>31</v>
      </c>
      <c r="B41" s="126" t="s">
        <v>574</v>
      </c>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2.75" customHeight="1" x14ac:dyDescent="0.2">
      <c r="A42" s="41" t="s">
        <v>575</v>
      </c>
      <c r="B42" s="126" t="s">
        <v>576</v>
      </c>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2.75" customHeight="1" x14ac:dyDescent="0.2">
      <c r="A43" s="41" t="s">
        <v>577</v>
      </c>
      <c r="B43" s="126" t="s">
        <v>578</v>
      </c>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2.75" customHeight="1" x14ac:dyDescent="0.2">
      <c r="A44" s="41" t="s">
        <v>579</v>
      </c>
      <c r="B44" s="126" t="s">
        <v>580</v>
      </c>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2.75" customHeight="1" x14ac:dyDescent="0.2">
      <c r="A45" s="41" t="s">
        <v>581</v>
      </c>
      <c r="B45" s="126" t="s">
        <v>582</v>
      </c>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2.75" customHeight="1" x14ac:dyDescent="0.2">
      <c r="A46" s="41" t="s">
        <v>33</v>
      </c>
      <c r="B46" s="126" t="s">
        <v>583</v>
      </c>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ht="12.75" customHeight="1" x14ac:dyDescent="0.2">
      <c r="A47" s="41" t="s">
        <v>134</v>
      </c>
      <c r="B47" s="126" t="s">
        <v>584</v>
      </c>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ht="12.75" customHeight="1" x14ac:dyDescent="0.2">
      <c r="A48" s="41" t="s">
        <v>135</v>
      </c>
      <c r="B48" s="126" t="s">
        <v>585</v>
      </c>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ht="12.75" customHeight="1" x14ac:dyDescent="0.2">
      <c r="A49" s="41" t="s">
        <v>136</v>
      </c>
      <c r="B49" s="126" t="s">
        <v>586</v>
      </c>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56.75" customHeight="1" x14ac:dyDescent="0.2">
      <c r="A50" s="41" t="s">
        <v>137</v>
      </c>
      <c r="B50" s="126" t="s">
        <v>587</v>
      </c>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ht="12.75" customHeight="1" x14ac:dyDescent="0.2">
      <c r="A51" s="41" t="s">
        <v>138</v>
      </c>
      <c r="B51" s="126" t="s">
        <v>588</v>
      </c>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ht="12.75" customHeight="1" x14ac:dyDescent="0.2">
      <c r="A52" s="41" t="s">
        <v>139</v>
      </c>
      <c r="B52" s="126" t="s">
        <v>589</v>
      </c>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ht="12.75" customHeight="1" x14ac:dyDescent="0.2">
      <c r="A53" s="41" t="s">
        <v>140</v>
      </c>
      <c r="B53" s="126" t="s">
        <v>590</v>
      </c>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ht="12.75" customHeight="1" x14ac:dyDescent="0.2">
      <c r="A54" s="41" t="s">
        <v>141</v>
      </c>
      <c r="B54" s="126" t="s">
        <v>591</v>
      </c>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ht="12.75" customHeight="1" x14ac:dyDescent="0.2">
      <c r="A55" s="41" t="s">
        <v>142</v>
      </c>
      <c r="B55" s="126" t="s">
        <v>592</v>
      </c>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2.75" customHeight="1" x14ac:dyDescent="0.2">
      <c r="A56" s="41" t="s">
        <v>143</v>
      </c>
      <c r="B56" s="126" t="s">
        <v>593</v>
      </c>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ht="12.75" customHeight="1" x14ac:dyDescent="0.2">
      <c r="A57" s="41" t="s">
        <v>144</v>
      </c>
      <c r="B57" s="126" t="s">
        <v>594</v>
      </c>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ht="71.25" customHeight="1" x14ac:dyDescent="0.2">
      <c r="A58" s="43" t="s">
        <v>145</v>
      </c>
      <c r="B58" s="126" t="s">
        <v>595</v>
      </c>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ht="12.75" customHeight="1" x14ac:dyDescent="0.2">
      <c r="A59" s="41" t="s">
        <v>34</v>
      </c>
      <c r="B59" s="126" t="s">
        <v>596</v>
      </c>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2.75" customHeight="1" x14ac:dyDescent="0.2">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38" customHeight="1" x14ac:dyDescent="0.2">
      <c r="A61" s="41" t="s">
        <v>35</v>
      </c>
      <c r="B61" s="126" t="s">
        <v>597</v>
      </c>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2.75" customHeight="1" x14ac:dyDescent="0.2">
      <c r="A62" s="41" t="s">
        <v>598</v>
      </c>
      <c r="B62" s="126" t="s">
        <v>599</v>
      </c>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2.75" customHeight="1" x14ac:dyDescent="0.2">
      <c r="A63" s="41" t="s">
        <v>600</v>
      </c>
      <c r="B63" s="126" t="s">
        <v>601</v>
      </c>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2.75" customHeight="1" x14ac:dyDescent="0.2">
      <c r="A64" s="41" t="s">
        <v>602</v>
      </c>
      <c r="B64" s="126" t="s">
        <v>603</v>
      </c>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2.75" customHeight="1" x14ac:dyDescent="0.2">
      <c r="A65" s="41" t="s">
        <v>149</v>
      </c>
      <c r="B65" s="126" t="s">
        <v>604</v>
      </c>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2.75" customHeight="1" x14ac:dyDescent="0.2">
      <c r="A66" s="41" t="s">
        <v>605</v>
      </c>
      <c r="B66" s="126" t="s">
        <v>606</v>
      </c>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88.5" customHeight="1" x14ac:dyDescent="0.2">
      <c r="A67" s="41" t="s">
        <v>151</v>
      </c>
      <c r="B67" s="126" t="s">
        <v>607</v>
      </c>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88.5" customHeight="1" x14ac:dyDescent="0.2">
      <c r="A68" s="41" t="s">
        <v>150</v>
      </c>
      <c r="B68" s="126" t="s">
        <v>608</v>
      </c>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88.5" customHeight="1" x14ac:dyDescent="0.2">
      <c r="A69" s="41" t="s">
        <v>152</v>
      </c>
      <c r="B69" s="126" t="s">
        <v>609</v>
      </c>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88.5" customHeight="1" x14ac:dyDescent="0.2">
      <c r="A70" s="41" t="s">
        <v>153</v>
      </c>
      <c r="B70" s="126" t="s">
        <v>610</v>
      </c>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88.5" customHeight="1" x14ac:dyDescent="0.2">
      <c r="A71" s="41" t="s">
        <v>155</v>
      </c>
      <c r="B71" s="126" t="s">
        <v>611</v>
      </c>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2.75" customHeight="1" x14ac:dyDescent="0.2">
      <c r="A72" s="41" t="s">
        <v>154</v>
      </c>
      <c r="B72" s="126" t="s">
        <v>612</v>
      </c>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2.75" customHeight="1" x14ac:dyDescent="0.2">
      <c r="A73" s="41" t="s">
        <v>37</v>
      </c>
      <c r="B73" s="126" t="s">
        <v>613</v>
      </c>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2.75" customHeight="1" x14ac:dyDescent="0.2">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2.75" customHeight="1" x14ac:dyDescent="0.2">
      <c r="A75" s="41" t="s">
        <v>156</v>
      </c>
      <c r="B75" s="126" t="s">
        <v>614</v>
      </c>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2.75" customHeight="1" x14ac:dyDescent="0.2">
      <c r="A76" s="41" t="s">
        <v>615</v>
      </c>
      <c r="B76" s="126" t="s">
        <v>616</v>
      </c>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2.75" customHeight="1" x14ac:dyDescent="0.2">
      <c r="A77" s="41" t="s">
        <v>158</v>
      </c>
      <c r="B77" s="126" t="s">
        <v>617</v>
      </c>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2.75" customHeight="1" x14ac:dyDescent="0.2">
      <c r="A78" s="41" t="s">
        <v>159</v>
      </c>
      <c r="B78" s="126" t="s">
        <v>618</v>
      </c>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2.75" customHeight="1" x14ac:dyDescent="0.2">
      <c r="A79" s="41" t="s">
        <v>619</v>
      </c>
      <c r="B79" s="126" t="s">
        <v>620</v>
      </c>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2.75" customHeight="1" x14ac:dyDescent="0.2">
      <c r="A80" s="41" t="s">
        <v>161</v>
      </c>
      <c r="B80" s="126" t="s">
        <v>621</v>
      </c>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2.75" customHeight="1" x14ac:dyDescent="0.2">
      <c r="A81" s="41" t="s">
        <v>162</v>
      </c>
      <c r="B81" s="126" t="s">
        <v>622</v>
      </c>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2.75" customHeight="1" x14ac:dyDescent="0.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2.75" customHeight="1" x14ac:dyDescent="0.2">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2.75" customHeight="1" x14ac:dyDescent="0.2">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2.75" customHeight="1" x14ac:dyDescent="0.2">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2.75" customHeight="1" x14ac:dyDescent="0.2">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2.75" customHeight="1" x14ac:dyDescent="0.2">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2.75" customHeight="1" x14ac:dyDescent="0.2">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2.75" customHeight="1" x14ac:dyDescent="0.2">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2.75" customHeight="1" x14ac:dyDescent="0.2">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2.75" customHeight="1" x14ac:dyDescent="0.2">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2.75" customHeight="1" x14ac:dyDescent="0.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2.75" customHeight="1" x14ac:dyDescent="0.2">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2.75" customHeight="1" x14ac:dyDescent="0.2">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2.75" customHeight="1" x14ac:dyDescent="0.2">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2.75" customHeight="1" x14ac:dyDescent="0.2">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2.75" customHeight="1" x14ac:dyDescent="0.2">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2.75" customHeight="1" x14ac:dyDescent="0.2">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2.75" customHeight="1" x14ac:dyDescent="0.2">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2.75" customHeight="1" x14ac:dyDescent="0.2">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2.75" customHeight="1" x14ac:dyDescent="0.2">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2.75" customHeight="1" x14ac:dyDescent="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2.75" customHeight="1" x14ac:dyDescent="0.2">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2.75" customHeight="1" x14ac:dyDescent="0.2">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2.75" customHeight="1" x14ac:dyDescent="0.2">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2.75" customHeight="1" x14ac:dyDescent="0.2">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2.75" customHeight="1" x14ac:dyDescent="0.2">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2.75" customHeight="1" x14ac:dyDescent="0.2">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2.75" customHeight="1" x14ac:dyDescent="0.2">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2.75" customHeight="1" x14ac:dyDescent="0.2">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2.75" customHeight="1" x14ac:dyDescent="0.2">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2.75" customHeight="1" x14ac:dyDescent="0.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2.75" customHeight="1" x14ac:dyDescent="0.2">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2.75" customHeight="1" x14ac:dyDescent="0.2">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2.75" customHeight="1" x14ac:dyDescent="0.2">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2.75" customHeight="1" x14ac:dyDescent="0.2">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2.75" customHeight="1" x14ac:dyDescent="0.2">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2.75" customHeight="1" x14ac:dyDescent="0.2">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2.75" customHeight="1" x14ac:dyDescent="0.2">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2.75" customHeight="1" x14ac:dyDescent="0.2">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2.75" customHeight="1" x14ac:dyDescent="0.2">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2.75" customHeight="1" x14ac:dyDescent="0.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2.75" customHeight="1" x14ac:dyDescent="0.2">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2.75" customHeight="1" x14ac:dyDescent="0.2">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2.75" customHeight="1" x14ac:dyDescent="0.2">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2.75" customHeight="1" x14ac:dyDescent="0.2">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2.75" customHeight="1" x14ac:dyDescent="0.2">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2.75" customHeight="1" x14ac:dyDescent="0.2">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2.75" customHeight="1" x14ac:dyDescent="0.2">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2.75" customHeight="1" x14ac:dyDescent="0.2">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2.75" customHeight="1" x14ac:dyDescent="0.2">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2.75" customHeight="1" x14ac:dyDescent="0.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2.75" customHeight="1" x14ac:dyDescent="0.2">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2.75" customHeight="1" x14ac:dyDescent="0.2">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2.75" customHeight="1" x14ac:dyDescent="0.2">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2.75" customHeight="1" x14ac:dyDescent="0.2">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2.75" customHeight="1" x14ac:dyDescent="0.2">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2.75" customHeight="1" x14ac:dyDescent="0.2">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2.75" customHeight="1" x14ac:dyDescent="0.2">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2.75" customHeight="1" x14ac:dyDescent="0.2">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2.75" customHeight="1" x14ac:dyDescent="0.2">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2.75" customHeight="1" x14ac:dyDescent="0.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2.75" customHeight="1" x14ac:dyDescent="0.2">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2.75" customHeight="1" x14ac:dyDescent="0.2">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2.75" customHeight="1" x14ac:dyDescent="0.2">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2.75" customHeight="1" x14ac:dyDescent="0.2">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2.75" customHeight="1" x14ac:dyDescent="0.2">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2.75" customHeight="1" x14ac:dyDescent="0.2">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2.75" customHeight="1" x14ac:dyDescent="0.2">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2.75" customHeight="1" x14ac:dyDescent="0.2">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2.75" customHeight="1" x14ac:dyDescent="0.2">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2.75" customHeight="1" x14ac:dyDescent="0.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2.75" customHeight="1" x14ac:dyDescent="0.2">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2.75" customHeight="1" x14ac:dyDescent="0.2">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2.75" customHeight="1" x14ac:dyDescent="0.2">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2.75" customHeight="1" x14ac:dyDescent="0.2">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2.75" customHeight="1" x14ac:dyDescent="0.2">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2.75" customHeight="1" x14ac:dyDescent="0.2">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2.75" customHeight="1" x14ac:dyDescent="0.2">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2.75" customHeight="1" x14ac:dyDescent="0.2">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2.75" customHeight="1" x14ac:dyDescent="0.2">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2.75" customHeight="1" x14ac:dyDescent="0.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2.75" customHeight="1" x14ac:dyDescent="0.2">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2.75" customHeight="1" x14ac:dyDescent="0.2">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2.75" customHeight="1" x14ac:dyDescent="0.2">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2.75" customHeight="1" x14ac:dyDescent="0.2">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2.75" customHeight="1" x14ac:dyDescent="0.2">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2.75" customHeight="1" x14ac:dyDescent="0.2">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2.75" customHeight="1" x14ac:dyDescent="0.2">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2.75" customHeight="1" x14ac:dyDescent="0.2">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2.75" customHeight="1" x14ac:dyDescent="0.2">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2.75" customHeight="1" x14ac:dyDescent="0.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2.75" customHeight="1" x14ac:dyDescent="0.2">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2.75" customHeight="1" x14ac:dyDescent="0.2">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2.75" customHeight="1" x14ac:dyDescent="0.2">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2.75" customHeight="1" x14ac:dyDescent="0.2">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2.75" customHeight="1" x14ac:dyDescent="0.2">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2.75" customHeight="1" x14ac:dyDescent="0.2">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2.75" customHeight="1" x14ac:dyDescent="0.2">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2.75" customHeight="1" x14ac:dyDescent="0.2">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2.75" customHeight="1" x14ac:dyDescent="0.2">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2.75" customHeight="1" x14ac:dyDescent="0.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2.75" customHeight="1" x14ac:dyDescent="0.2">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2.75" customHeight="1" x14ac:dyDescent="0.2">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2.75" customHeight="1" x14ac:dyDescent="0.2">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2.75" customHeight="1" x14ac:dyDescent="0.2">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2.75" customHeight="1" x14ac:dyDescent="0.2">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2.75" customHeight="1" x14ac:dyDescent="0.2">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2.75" customHeight="1" x14ac:dyDescent="0.2">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2.75" customHeight="1" x14ac:dyDescent="0.2">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2.75" customHeight="1" x14ac:dyDescent="0.2">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2.75" customHeight="1" x14ac:dyDescent="0.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2.75" customHeight="1" x14ac:dyDescent="0.2">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2.75" customHeight="1" x14ac:dyDescent="0.2">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2.75" customHeight="1" x14ac:dyDescent="0.2">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2.75" customHeight="1" x14ac:dyDescent="0.2">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2.75" customHeight="1" x14ac:dyDescent="0.2">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2.75" customHeight="1" x14ac:dyDescent="0.2">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2.75" customHeight="1" x14ac:dyDescent="0.2">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2.75" customHeight="1" x14ac:dyDescent="0.2">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2.75" customHeight="1" x14ac:dyDescent="0.2">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2.75" customHeight="1" x14ac:dyDescent="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2.75" customHeight="1" x14ac:dyDescent="0.2">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2.75" customHeight="1" x14ac:dyDescent="0.2">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2.75" customHeight="1" x14ac:dyDescent="0.2">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2.75" customHeight="1" x14ac:dyDescent="0.2">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2.75" customHeight="1" x14ac:dyDescent="0.2">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2.75" customHeight="1" x14ac:dyDescent="0.2">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2.75" customHeight="1" x14ac:dyDescent="0.2">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2.75" customHeight="1" x14ac:dyDescent="0.2">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2.75" customHeight="1" x14ac:dyDescent="0.2">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2.75" customHeight="1" x14ac:dyDescent="0.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2.75" customHeight="1" x14ac:dyDescent="0.2">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2.75" customHeight="1" x14ac:dyDescent="0.2">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2.75" customHeight="1" x14ac:dyDescent="0.2">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2.75" customHeight="1" x14ac:dyDescent="0.2">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2.75" customHeight="1" x14ac:dyDescent="0.2">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2.75" customHeight="1" x14ac:dyDescent="0.2">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2.75" customHeight="1" x14ac:dyDescent="0.2">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2.75" customHeight="1" x14ac:dyDescent="0.2">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2.75" customHeight="1" x14ac:dyDescent="0.2">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2.75" customHeight="1" x14ac:dyDescent="0.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2.75" customHeight="1" x14ac:dyDescent="0.2">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2.75" customHeight="1" x14ac:dyDescent="0.2">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2.75" customHeight="1" x14ac:dyDescent="0.2">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2.75" customHeight="1" x14ac:dyDescent="0.2">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2.75" customHeight="1" x14ac:dyDescent="0.2">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2.75" customHeight="1" x14ac:dyDescent="0.2">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2.75" customHeight="1" x14ac:dyDescent="0.2">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2.75" customHeight="1" x14ac:dyDescent="0.2">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2.75" customHeight="1" x14ac:dyDescent="0.2">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2.75" customHeight="1" x14ac:dyDescent="0.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2.75" customHeight="1" x14ac:dyDescent="0.2">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2.75" customHeight="1" x14ac:dyDescent="0.2">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2.75" customHeight="1" x14ac:dyDescent="0.2">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2.75" customHeight="1" x14ac:dyDescent="0.2">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2.75" customHeight="1" x14ac:dyDescent="0.2">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2.75" customHeight="1" x14ac:dyDescent="0.2">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2.75" customHeight="1" x14ac:dyDescent="0.2">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2.75" customHeight="1" x14ac:dyDescent="0.2">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2.75" customHeight="1" x14ac:dyDescent="0.2">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2.75" customHeight="1" x14ac:dyDescent="0.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2.75" customHeight="1" x14ac:dyDescent="0.2">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2.75" customHeight="1" x14ac:dyDescent="0.2">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2.75" customHeight="1" x14ac:dyDescent="0.2">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2.75" customHeight="1" x14ac:dyDescent="0.2">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2.75" customHeight="1" x14ac:dyDescent="0.2">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2.75" customHeight="1" x14ac:dyDescent="0.2">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2.75" customHeight="1" x14ac:dyDescent="0.2">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2.75" customHeight="1" x14ac:dyDescent="0.2">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2.75" customHeight="1" x14ac:dyDescent="0.2">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2.75" customHeight="1" x14ac:dyDescent="0.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2.75" customHeight="1" x14ac:dyDescent="0.2">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2.75" customHeight="1" x14ac:dyDescent="0.2">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2.75" customHeight="1" x14ac:dyDescent="0.2">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2.75" customHeight="1" x14ac:dyDescent="0.2">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2.75" customHeight="1" x14ac:dyDescent="0.2">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2.75" customHeight="1" x14ac:dyDescent="0.2">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2.75" customHeight="1" x14ac:dyDescent="0.2">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2.75" customHeight="1" x14ac:dyDescent="0.2">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2.75" customHeight="1" x14ac:dyDescent="0.2">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2.75" customHeight="1" x14ac:dyDescent="0.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2.75" customHeight="1" x14ac:dyDescent="0.2">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2.75" customHeight="1" x14ac:dyDescent="0.2">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2.75" customHeight="1" x14ac:dyDescent="0.2">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2.75" customHeight="1" x14ac:dyDescent="0.2">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2.75" customHeight="1" x14ac:dyDescent="0.2">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2.75" customHeight="1" x14ac:dyDescent="0.2">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2.75" customHeight="1" x14ac:dyDescent="0.2">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2.75" customHeight="1" x14ac:dyDescent="0.2">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2.75" customHeight="1" x14ac:dyDescent="0.2">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2.75" customHeight="1" x14ac:dyDescent="0.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2.75" customHeight="1" x14ac:dyDescent="0.2">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2.75" customHeight="1" x14ac:dyDescent="0.2">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2.75" customHeight="1" x14ac:dyDescent="0.2">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2.75" customHeight="1" x14ac:dyDescent="0.2">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2.75" customHeight="1" x14ac:dyDescent="0.2">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2.75" customHeight="1" x14ac:dyDescent="0.2">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2.75" customHeight="1" x14ac:dyDescent="0.2">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2.75" customHeight="1" x14ac:dyDescent="0.2">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2.75" customHeight="1" x14ac:dyDescent="0.2">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2.75" customHeight="1" x14ac:dyDescent="0.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2.75" customHeight="1" x14ac:dyDescent="0.2">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2.75" customHeight="1" x14ac:dyDescent="0.2">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2.75" customHeight="1" x14ac:dyDescent="0.2">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2.75" customHeight="1" x14ac:dyDescent="0.2">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2.75" customHeight="1" x14ac:dyDescent="0.2">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2.75" customHeight="1" x14ac:dyDescent="0.2">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2.75" customHeight="1" x14ac:dyDescent="0.2">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2.75" customHeight="1" x14ac:dyDescent="0.2">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2.75" customHeight="1" x14ac:dyDescent="0.2">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2.75" customHeight="1" x14ac:dyDescent="0.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2.75" customHeight="1" x14ac:dyDescent="0.2">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2.75" customHeight="1" x14ac:dyDescent="0.2">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2.75" customHeight="1" x14ac:dyDescent="0.2">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2.75" customHeight="1" x14ac:dyDescent="0.2">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2.75" customHeight="1" x14ac:dyDescent="0.2">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2.75" customHeight="1" x14ac:dyDescent="0.2">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2.75" customHeight="1" x14ac:dyDescent="0.2">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2.75" customHeight="1" x14ac:dyDescent="0.2">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2.75" customHeight="1" x14ac:dyDescent="0.2">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2.75" customHeight="1" x14ac:dyDescent="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2.75" customHeight="1" x14ac:dyDescent="0.2">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2.75" customHeight="1" x14ac:dyDescent="0.2">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2.75" customHeight="1" x14ac:dyDescent="0.2">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2.75" customHeight="1" x14ac:dyDescent="0.2">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2.75" customHeight="1" x14ac:dyDescent="0.2">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2.75" customHeight="1" x14ac:dyDescent="0.2">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2.75" customHeight="1" x14ac:dyDescent="0.2">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2.75" customHeight="1" x14ac:dyDescent="0.2">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2.75" customHeight="1" x14ac:dyDescent="0.2">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2.75" customHeight="1" x14ac:dyDescent="0.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2.75" customHeight="1" x14ac:dyDescent="0.2">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2.75" customHeight="1" x14ac:dyDescent="0.2">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2.75" customHeight="1" x14ac:dyDescent="0.2">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2.75" customHeight="1" x14ac:dyDescent="0.2">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2.75" customHeight="1" x14ac:dyDescent="0.2">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2.75" customHeight="1" x14ac:dyDescent="0.2">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2.75" customHeight="1" x14ac:dyDescent="0.2">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2.75" customHeight="1" x14ac:dyDescent="0.2">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2.75" customHeight="1" x14ac:dyDescent="0.2">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2.75" customHeight="1" x14ac:dyDescent="0.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2.75" customHeight="1" x14ac:dyDescent="0.2">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2.75" customHeight="1" x14ac:dyDescent="0.2">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2.75" customHeight="1" x14ac:dyDescent="0.2">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2.75" customHeight="1" x14ac:dyDescent="0.2">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2.75" customHeight="1" x14ac:dyDescent="0.2">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2.75" customHeight="1" x14ac:dyDescent="0.2">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2.75" customHeight="1" x14ac:dyDescent="0.2">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2.75" customHeight="1" x14ac:dyDescent="0.2">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2.75" customHeight="1" x14ac:dyDescent="0.2">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2.75" customHeight="1" x14ac:dyDescent="0.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2.75" customHeight="1" x14ac:dyDescent="0.2">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2.75" customHeight="1" x14ac:dyDescent="0.2">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2.75" customHeight="1" x14ac:dyDescent="0.2">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2.75" customHeight="1" x14ac:dyDescent="0.2">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2.75" customHeight="1" x14ac:dyDescent="0.2">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2.75" customHeight="1" x14ac:dyDescent="0.2">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2.75" customHeight="1" x14ac:dyDescent="0.2">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2.75" customHeight="1" x14ac:dyDescent="0.2">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2.75" customHeight="1" x14ac:dyDescent="0.2">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2.75" customHeight="1" x14ac:dyDescent="0.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2.75" customHeight="1" x14ac:dyDescent="0.2">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2.75" customHeight="1" x14ac:dyDescent="0.2">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2.75" customHeight="1" x14ac:dyDescent="0.2">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2.75" customHeight="1" x14ac:dyDescent="0.2">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2.75" customHeight="1" x14ac:dyDescent="0.2">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2.75" customHeight="1" x14ac:dyDescent="0.2">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2.75" customHeight="1" x14ac:dyDescent="0.2">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2.75" customHeight="1" x14ac:dyDescent="0.2">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2.75" customHeight="1" x14ac:dyDescent="0.2">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2.75" customHeight="1" x14ac:dyDescent="0.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2.75" customHeight="1" x14ac:dyDescent="0.2">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2.75" customHeight="1" x14ac:dyDescent="0.2">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2.75" customHeight="1" x14ac:dyDescent="0.2">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2.75" customHeight="1" x14ac:dyDescent="0.2">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2.75" customHeight="1" x14ac:dyDescent="0.2">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2.75" customHeight="1" x14ac:dyDescent="0.2">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2.75" customHeight="1" x14ac:dyDescent="0.2">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2.75" customHeight="1" x14ac:dyDescent="0.2">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2.75" customHeight="1" x14ac:dyDescent="0.2">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2.75" customHeight="1" x14ac:dyDescent="0.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2.75" customHeight="1" x14ac:dyDescent="0.2">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2.75" customHeight="1" x14ac:dyDescent="0.2">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2.75" customHeight="1" x14ac:dyDescent="0.2">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2.75" customHeight="1" x14ac:dyDescent="0.2">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2.75" customHeight="1" x14ac:dyDescent="0.2">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2.75" customHeight="1" x14ac:dyDescent="0.2">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2.75" customHeight="1" x14ac:dyDescent="0.2">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2.75" customHeight="1" x14ac:dyDescent="0.2">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2.75" customHeight="1" x14ac:dyDescent="0.2">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2.75" customHeight="1" x14ac:dyDescent="0.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2.75" customHeight="1" x14ac:dyDescent="0.2">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2.75" customHeight="1" x14ac:dyDescent="0.2">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2.75" customHeight="1" x14ac:dyDescent="0.2">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2.75" customHeight="1" x14ac:dyDescent="0.2">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2.75" customHeight="1" x14ac:dyDescent="0.2">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2.75" customHeight="1" x14ac:dyDescent="0.2">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2.75" customHeight="1" x14ac:dyDescent="0.2">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2.75" customHeight="1" x14ac:dyDescent="0.2">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2.75" customHeight="1" x14ac:dyDescent="0.2">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2.75" customHeight="1" x14ac:dyDescent="0.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2.75" customHeight="1" x14ac:dyDescent="0.2">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2.75" customHeight="1" x14ac:dyDescent="0.2">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2.75" customHeight="1" x14ac:dyDescent="0.2">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2.75" customHeight="1" x14ac:dyDescent="0.2">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2.75" customHeight="1" x14ac:dyDescent="0.2">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2.75" customHeight="1" x14ac:dyDescent="0.2">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2.75" customHeight="1" x14ac:dyDescent="0.2">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2.75" customHeight="1" x14ac:dyDescent="0.2">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2.75" customHeight="1" x14ac:dyDescent="0.2">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2.75" customHeight="1" x14ac:dyDescent="0.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2.75" customHeight="1" x14ac:dyDescent="0.2">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2.75" customHeight="1" x14ac:dyDescent="0.2">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2.75" customHeight="1" x14ac:dyDescent="0.2">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2.75" customHeight="1" x14ac:dyDescent="0.2">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2.75" customHeight="1" x14ac:dyDescent="0.2">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2.75" customHeight="1" x14ac:dyDescent="0.2">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2.75" customHeight="1" x14ac:dyDescent="0.2">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2.75" customHeight="1" x14ac:dyDescent="0.2">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2.75" customHeight="1" x14ac:dyDescent="0.2">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2.75" customHeight="1" x14ac:dyDescent="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2.75" customHeight="1" x14ac:dyDescent="0.2">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2.75" customHeight="1" x14ac:dyDescent="0.2">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2.75" customHeight="1" x14ac:dyDescent="0.2">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2.75" customHeight="1" x14ac:dyDescent="0.2">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2.75" customHeight="1" x14ac:dyDescent="0.2">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2.75" customHeight="1" x14ac:dyDescent="0.2">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2.75" customHeight="1" x14ac:dyDescent="0.2">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2.75" customHeight="1" x14ac:dyDescent="0.2">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2.75" customHeight="1" x14ac:dyDescent="0.2">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2.75" customHeight="1" x14ac:dyDescent="0.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2.75" customHeight="1" x14ac:dyDescent="0.2">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2.75" customHeight="1" x14ac:dyDescent="0.2">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2.75" customHeight="1" x14ac:dyDescent="0.2">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2.75" customHeight="1" x14ac:dyDescent="0.2">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2.75" customHeight="1" x14ac:dyDescent="0.2">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2.75" customHeight="1" x14ac:dyDescent="0.2">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2.75" customHeight="1" x14ac:dyDescent="0.2">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2.75" customHeight="1" x14ac:dyDescent="0.2">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2.75" customHeight="1" x14ac:dyDescent="0.2">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2.75" customHeight="1" x14ac:dyDescent="0.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2.75" customHeight="1" x14ac:dyDescent="0.2">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2.75" customHeight="1" x14ac:dyDescent="0.2">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2.75" customHeight="1" x14ac:dyDescent="0.2">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2.75" customHeight="1" x14ac:dyDescent="0.2">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2.75" customHeight="1" x14ac:dyDescent="0.2">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2.75" customHeight="1" x14ac:dyDescent="0.2">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2.75" customHeight="1" x14ac:dyDescent="0.2">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2.75" customHeight="1" x14ac:dyDescent="0.2">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2.75" customHeight="1" x14ac:dyDescent="0.2">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2.75" customHeight="1" x14ac:dyDescent="0.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2.75" customHeight="1" x14ac:dyDescent="0.2">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2.75" customHeight="1" x14ac:dyDescent="0.2">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2.75" customHeight="1" x14ac:dyDescent="0.2">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2.75" customHeight="1" x14ac:dyDescent="0.2">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2.75" customHeight="1" x14ac:dyDescent="0.2">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2.75" customHeight="1" x14ac:dyDescent="0.2">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2.75" customHeight="1" x14ac:dyDescent="0.2">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2.75" customHeight="1" x14ac:dyDescent="0.2">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2.75" customHeight="1" x14ac:dyDescent="0.2">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2.75" customHeight="1" x14ac:dyDescent="0.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2.75" customHeight="1" x14ac:dyDescent="0.2">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2.75" customHeight="1" x14ac:dyDescent="0.2">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2.75" customHeight="1" x14ac:dyDescent="0.2">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2.75" customHeight="1" x14ac:dyDescent="0.2">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2.75" customHeight="1" x14ac:dyDescent="0.2">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2.75" customHeight="1" x14ac:dyDescent="0.2">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2.75" customHeight="1" x14ac:dyDescent="0.2">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2.75" customHeight="1" x14ac:dyDescent="0.2">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2.75" customHeight="1" x14ac:dyDescent="0.2">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2.75" customHeight="1" x14ac:dyDescent="0.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2.75" customHeight="1" x14ac:dyDescent="0.2">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2.75" customHeight="1" x14ac:dyDescent="0.2">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2.75" customHeight="1" x14ac:dyDescent="0.2">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2.75" customHeight="1" x14ac:dyDescent="0.2">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2.75" customHeight="1" x14ac:dyDescent="0.2">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2.75" customHeight="1" x14ac:dyDescent="0.2">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2.75" customHeight="1" x14ac:dyDescent="0.2">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2.75" customHeight="1" x14ac:dyDescent="0.2">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2.75" customHeight="1" x14ac:dyDescent="0.2">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2.75" customHeight="1" x14ac:dyDescent="0.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2.75" customHeight="1" x14ac:dyDescent="0.2">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2.75" customHeight="1" x14ac:dyDescent="0.2">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2.75" customHeight="1" x14ac:dyDescent="0.2">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2.75" customHeight="1" x14ac:dyDescent="0.2">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2.75" customHeight="1" x14ac:dyDescent="0.2">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2.75" customHeight="1" x14ac:dyDescent="0.2">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2.75" customHeight="1" x14ac:dyDescent="0.2">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2.75" customHeight="1" x14ac:dyDescent="0.2">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2.75" customHeight="1" x14ac:dyDescent="0.2">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2.75" customHeight="1" x14ac:dyDescent="0.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2.75" customHeight="1" x14ac:dyDescent="0.2">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2.75" customHeight="1" x14ac:dyDescent="0.2">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2.75" customHeight="1" x14ac:dyDescent="0.2">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2.75" customHeight="1" x14ac:dyDescent="0.2">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2.75" customHeight="1" x14ac:dyDescent="0.2">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2.75" customHeight="1" x14ac:dyDescent="0.2">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2.75" customHeight="1" x14ac:dyDescent="0.2">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2.75" customHeight="1" x14ac:dyDescent="0.2">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2.75" customHeight="1" x14ac:dyDescent="0.2">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2.75" customHeight="1" x14ac:dyDescent="0.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2.75" customHeight="1" x14ac:dyDescent="0.2">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2.75" customHeight="1" x14ac:dyDescent="0.2">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2.75" customHeight="1" x14ac:dyDescent="0.2">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2.75" customHeight="1" x14ac:dyDescent="0.2">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2.75" customHeight="1" x14ac:dyDescent="0.2">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2.75" customHeight="1" x14ac:dyDescent="0.2">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2.75" customHeight="1" x14ac:dyDescent="0.2">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2.75" customHeight="1" x14ac:dyDescent="0.2">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2.75" customHeight="1" x14ac:dyDescent="0.2">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2.75" customHeight="1" x14ac:dyDescent="0.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2.75" customHeight="1" x14ac:dyDescent="0.2">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2.75" customHeight="1" x14ac:dyDescent="0.2">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2.75" customHeight="1" x14ac:dyDescent="0.2">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2.75" customHeight="1" x14ac:dyDescent="0.2">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2.75" customHeight="1" x14ac:dyDescent="0.2">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2.75" customHeight="1" x14ac:dyDescent="0.2">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2.75" customHeight="1" x14ac:dyDescent="0.2">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2.75" customHeight="1" x14ac:dyDescent="0.2">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2.75" customHeight="1" x14ac:dyDescent="0.2">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2.75" customHeight="1" x14ac:dyDescent="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2.75" customHeight="1" x14ac:dyDescent="0.2">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2.75" customHeight="1" x14ac:dyDescent="0.2">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2.75" customHeight="1" x14ac:dyDescent="0.2">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2.75" customHeight="1" x14ac:dyDescent="0.2">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2.75" customHeight="1" x14ac:dyDescent="0.2">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2.75" customHeight="1" x14ac:dyDescent="0.2">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2.75" customHeight="1" x14ac:dyDescent="0.2">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2.75" customHeight="1" x14ac:dyDescent="0.2">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2.75" customHeight="1" x14ac:dyDescent="0.2">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2.75" customHeight="1" x14ac:dyDescent="0.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2.75" customHeight="1" x14ac:dyDescent="0.2">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2.75" customHeight="1" x14ac:dyDescent="0.2">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2.75" customHeight="1" x14ac:dyDescent="0.2">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2.75" customHeight="1" x14ac:dyDescent="0.2">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2.75" customHeight="1" x14ac:dyDescent="0.2">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2.75" customHeight="1" x14ac:dyDescent="0.2">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2.75" customHeight="1" x14ac:dyDescent="0.2">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2.75" customHeight="1" x14ac:dyDescent="0.2">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2.75" customHeight="1" x14ac:dyDescent="0.2">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2.75" customHeight="1" x14ac:dyDescent="0.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2.75" customHeight="1" x14ac:dyDescent="0.2">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2.75" customHeight="1" x14ac:dyDescent="0.2">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2.75" customHeight="1" x14ac:dyDescent="0.2">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2.75" customHeight="1" x14ac:dyDescent="0.2">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2.75" customHeight="1" x14ac:dyDescent="0.2">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2.75" customHeight="1" x14ac:dyDescent="0.2">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2.75" customHeight="1" x14ac:dyDescent="0.2">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2.75" customHeight="1" x14ac:dyDescent="0.2">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2.75" customHeight="1" x14ac:dyDescent="0.2">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2.75" customHeight="1" x14ac:dyDescent="0.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2.75" customHeight="1" x14ac:dyDescent="0.2">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2.75" customHeight="1" x14ac:dyDescent="0.2">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2.75" customHeight="1" x14ac:dyDescent="0.2">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2.75" customHeight="1" x14ac:dyDescent="0.2">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2.75" customHeight="1" x14ac:dyDescent="0.2">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2.75" customHeight="1" x14ac:dyDescent="0.2">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2.75" customHeight="1" x14ac:dyDescent="0.2">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2.75" customHeight="1" x14ac:dyDescent="0.2">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2.75" customHeight="1" x14ac:dyDescent="0.2">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2.75" customHeight="1" x14ac:dyDescent="0.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2.75" customHeight="1" x14ac:dyDescent="0.2">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2.75" customHeight="1" x14ac:dyDescent="0.2">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2.75" customHeight="1" x14ac:dyDescent="0.2">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2.75" customHeight="1" x14ac:dyDescent="0.2">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2.75" customHeight="1" x14ac:dyDescent="0.2">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2.75" customHeight="1" x14ac:dyDescent="0.2">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2.75" customHeight="1" x14ac:dyDescent="0.2">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2.75" customHeight="1" x14ac:dyDescent="0.2">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2.75" customHeight="1" x14ac:dyDescent="0.2">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2.75" customHeight="1" x14ac:dyDescent="0.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2.75" customHeight="1" x14ac:dyDescent="0.2">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2.75" customHeight="1" x14ac:dyDescent="0.2">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2.75" customHeight="1" x14ac:dyDescent="0.2">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2.75" customHeight="1" x14ac:dyDescent="0.2">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2.75" customHeight="1" x14ac:dyDescent="0.2">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2.75" customHeight="1" x14ac:dyDescent="0.2">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2.75" customHeight="1" x14ac:dyDescent="0.2">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2.75" customHeight="1" x14ac:dyDescent="0.2">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2.75" customHeight="1" x14ac:dyDescent="0.2">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2.75" customHeight="1" x14ac:dyDescent="0.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2.75" customHeight="1" x14ac:dyDescent="0.2">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2.75" customHeight="1" x14ac:dyDescent="0.2">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2.75" customHeight="1" x14ac:dyDescent="0.2">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2.75" customHeight="1" x14ac:dyDescent="0.2">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2.75" customHeight="1" x14ac:dyDescent="0.2">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2.75" customHeight="1" x14ac:dyDescent="0.2">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2.75" customHeight="1" x14ac:dyDescent="0.2">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2.75" customHeight="1" x14ac:dyDescent="0.2">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2.75" customHeight="1" x14ac:dyDescent="0.2">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2.75" customHeight="1" x14ac:dyDescent="0.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2.75" customHeight="1" x14ac:dyDescent="0.2">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2.75" customHeight="1" x14ac:dyDescent="0.2">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2.75" customHeight="1" x14ac:dyDescent="0.2">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2.75" customHeight="1" x14ac:dyDescent="0.2">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2.75" customHeight="1" x14ac:dyDescent="0.2">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2.75" customHeight="1" x14ac:dyDescent="0.2">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2.75" customHeight="1" x14ac:dyDescent="0.2">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2.75" customHeight="1" x14ac:dyDescent="0.2">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2.75" customHeight="1" x14ac:dyDescent="0.2">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2.75" customHeight="1" x14ac:dyDescent="0.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2.75" customHeight="1" x14ac:dyDescent="0.2">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2.75" customHeight="1" x14ac:dyDescent="0.2">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2.75" customHeight="1" x14ac:dyDescent="0.2">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2.75" customHeight="1" x14ac:dyDescent="0.2">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2.75" customHeight="1" x14ac:dyDescent="0.2">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2.75" customHeight="1" x14ac:dyDescent="0.2">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2.75" customHeight="1" x14ac:dyDescent="0.2">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2.75" customHeight="1" x14ac:dyDescent="0.2">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2.75" customHeight="1" x14ac:dyDescent="0.2">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2.75" customHeight="1" x14ac:dyDescent="0.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2.75" customHeight="1" x14ac:dyDescent="0.2">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2.75" customHeight="1" x14ac:dyDescent="0.2">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2.75" customHeight="1" x14ac:dyDescent="0.2">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2.75" customHeight="1" x14ac:dyDescent="0.2">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2.75" customHeight="1" x14ac:dyDescent="0.2">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2.75" customHeight="1" x14ac:dyDescent="0.2">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2.75" customHeight="1" x14ac:dyDescent="0.2">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2.75" customHeight="1" x14ac:dyDescent="0.2">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2.75" customHeight="1" x14ac:dyDescent="0.2">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2.75" customHeight="1" x14ac:dyDescent="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2.75" customHeight="1" x14ac:dyDescent="0.2">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2.75" customHeight="1" x14ac:dyDescent="0.2">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2.75" customHeight="1" x14ac:dyDescent="0.2">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2.75" customHeight="1" x14ac:dyDescent="0.2">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2.75" customHeight="1" x14ac:dyDescent="0.2">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2.75" customHeight="1" x14ac:dyDescent="0.2">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2.75" customHeight="1" x14ac:dyDescent="0.2">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2.75" customHeight="1" x14ac:dyDescent="0.2">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2.75" customHeight="1" x14ac:dyDescent="0.2">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2.75" customHeight="1" x14ac:dyDescent="0.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2.75" customHeight="1" x14ac:dyDescent="0.2">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2.75" customHeight="1" x14ac:dyDescent="0.2">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2.75" customHeight="1" x14ac:dyDescent="0.2">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2.75" customHeight="1" x14ac:dyDescent="0.2">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2.75" customHeight="1" x14ac:dyDescent="0.2">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2.75" customHeight="1" x14ac:dyDescent="0.2">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2.75" customHeight="1" x14ac:dyDescent="0.2">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2.75" customHeight="1" x14ac:dyDescent="0.2">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2.75" customHeight="1" x14ac:dyDescent="0.2">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2.75" customHeight="1" x14ac:dyDescent="0.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2.75" customHeight="1" x14ac:dyDescent="0.2">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2.75" customHeight="1" x14ac:dyDescent="0.2">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2.75" customHeight="1" x14ac:dyDescent="0.2">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2.75" customHeight="1" x14ac:dyDescent="0.2">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2.75" customHeight="1" x14ac:dyDescent="0.2">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2.75" customHeight="1" x14ac:dyDescent="0.2">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2.75" customHeight="1" x14ac:dyDescent="0.2">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2.75" customHeight="1" x14ac:dyDescent="0.2">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2.75" customHeight="1" x14ac:dyDescent="0.2">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2.75" customHeight="1" x14ac:dyDescent="0.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2.75" customHeight="1" x14ac:dyDescent="0.2">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2.75" customHeight="1" x14ac:dyDescent="0.2">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2.75" customHeight="1" x14ac:dyDescent="0.2">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2.75" customHeight="1" x14ac:dyDescent="0.2">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2.75" customHeight="1" x14ac:dyDescent="0.2">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2.75" customHeight="1" x14ac:dyDescent="0.2">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2.75" customHeight="1" x14ac:dyDescent="0.2">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2.75" customHeight="1" x14ac:dyDescent="0.2">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2.75" customHeight="1" x14ac:dyDescent="0.2">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2.75" customHeight="1" x14ac:dyDescent="0.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2.75" customHeight="1" x14ac:dyDescent="0.2">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2.75" customHeight="1" x14ac:dyDescent="0.2">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2.75" customHeight="1" x14ac:dyDescent="0.2">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2.75" customHeight="1" x14ac:dyDescent="0.2">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2.75" customHeight="1" x14ac:dyDescent="0.2">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2.75" customHeight="1" x14ac:dyDescent="0.2">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2.75" customHeight="1" x14ac:dyDescent="0.2">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2.75" customHeight="1" x14ac:dyDescent="0.2">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2.75" customHeight="1" x14ac:dyDescent="0.2">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2.75" customHeight="1" x14ac:dyDescent="0.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2.75" customHeight="1" x14ac:dyDescent="0.2">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2.75" customHeight="1" x14ac:dyDescent="0.2">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2.75" customHeight="1" x14ac:dyDescent="0.2">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2.75" customHeight="1" x14ac:dyDescent="0.2">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2.75" customHeight="1" x14ac:dyDescent="0.2">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2.75" customHeight="1" x14ac:dyDescent="0.2">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2.75" customHeight="1" x14ac:dyDescent="0.2">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2.75" customHeight="1" x14ac:dyDescent="0.2">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2.75" customHeight="1" x14ac:dyDescent="0.2">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2.75" customHeight="1" x14ac:dyDescent="0.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2.75" customHeight="1" x14ac:dyDescent="0.2">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2.75" customHeight="1" x14ac:dyDescent="0.2">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2.75" customHeight="1" x14ac:dyDescent="0.2">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2.75" customHeight="1" x14ac:dyDescent="0.2">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2.75" customHeight="1" x14ac:dyDescent="0.2">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2.75" customHeight="1" x14ac:dyDescent="0.2">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2.75" customHeight="1" x14ac:dyDescent="0.2">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2.75" customHeight="1" x14ac:dyDescent="0.2">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2.75" customHeight="1" x14ac:dyDescent="0.2">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2.75" customHeight="1" x14ac:dyDescent="0.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2.75" customHeight="1" x14ac:dyDescent="0.2">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2.75" customHeight="1" x14ac:dyDescent="0.2">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2.75" customHeight="1" x14ac:dyDescent="0.2">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2.75" customHeight="1" x14ac:dyDescent="0.2">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2.75" customHeight="1" x14ac:dyDescent="0.2">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2.75" customHeight="1" x14ac:dyDescent="0.2">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2.75" customHeight="1" x14ac:dyDescent="0.2">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2.75" customHeight="1" x14ac:dyDescent="0.2">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2.75" customHeight="1" x14ac:dyDescent="0.2">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2.75" customHeight="1" x14ac:dyDescent="0.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2.75" customHeight="1" x14ac:dyDescent="0.2">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2.75" customHeight="1" x14ac:dyDescent="0.2">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2.75" customHeight="1" x14ac:dyDescent="0.2">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2.75" customHeight="1" x14ac:dyDescent="0.2">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2.75" customHeight="1" x14ac:dyDescent="0.2">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2.75" customHeight="1" x14ac:dyDescent="0.2">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2.75" customHeight="1" x14ac:dyDescent="0.2">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2.75" customHeight="1" x14ac:dyDescent="0.2">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2.75" customHeight="1" x14ac:dyDescent="0.2">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2.75" customHeight="1" x14ac:dyDescent="0.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2.75" customHeight="1" x14ac:dyDescent="0.2">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2.75" customHeight="1" x14ac:dyDescent="0.2">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2.75" customHeight="1" x14ac:dyDescent="0.2">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2.75" customHeight="1" x14ac:dyDescent="0.2">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2.75" customHeight="1" x14ac:dyDescent="0.2">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2.75" customHeight="1" x14ac:dyDescent="0.2">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2.75" customHeight="1" x14ac:dyDescent="0.2">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2.75" customHeight="1" x14ac:dyDescent="0.2">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2.75" customHeight="1" x14ac:dyDescent="0.2">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2.75" customHeight="1" x14ac:dyDescent="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2.75" customHeight="1" x14ac:dyDescent="0.2">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2.75" customHeight="1" x14ac:dyDescent="0.2">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2.75" customHeight="1" x14ac:dyDescent="0.2">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2.75" customHeight="1" x14ac:dyDescent="0.2">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2.75" customHeight="1" x14ac:dyDescent="0.2">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2.75" customHeight="1" x14ac:dyDescent="0.2">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2.75" customHeight="1" x14ac:dyDescent="0.2">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2.75" customHeight="1" x14ac:dyDescent="0.2">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2.75" customHeight="1" x14ac:dyDescent="0.2">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2.75" customHeight="1" x14ac:dyDescent="0.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2.75" customHeight="1" x14ac:dyDescent="0.2">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2.75" customHeight="1" x14ac:dyDescent="0.2">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2.75" customHeight="1" x14ac:dyDescent="0.2">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2.75" customHeight="1" x14ac:dyDescent="0.2">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2.75" customHeight="1" x14ac:dyDescent="0.2">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2.75" customHeight="1" x14ac:dyDescent="0.2">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2.75" customHeight="1" x14ac:dyDescent="0.2">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2.75" customHeight="1" x14ac:dyDescent="0.2">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2.75" customHeight="1" x14ac:dyDescent="0.2">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2.75" customHeight="1" x14ac:dyDescent="0.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2.75" customHeight="1" x14ac:dyDescent="0.2">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2.75" customHeight="1" x14ac:dyDescent="0.2">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2.75" customHeight="1" x14ac:dyDescent="0.2">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2.75" customHeight="1" x14ac:dyDescent="0.2">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2.75" customHeight="1" x14ac:dyDescent="0.2">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2.75" customHeight="1" x14ac:dyDescent="0.2">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2.75" customHeight="1" x14ac:dyDescent="0.2">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2.75" customHeight="1" x14ac:dyDescent="0.2">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2.75" customHeight="1" x14ac:dyDescent="0.2">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2.75" customHeight="1" x14ac:dyDescent="0.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2.75" customHeight="1" x14ac:dyDescent="0.2">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2.75" customHeight="1" x14ac:dyDescent="0.2">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2.75" customHeight="1" x14ac:dyDescent="0.2">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2.75" customHeight="1" x14ac:dyDescent="0.2">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2.75" customHeight="1" x14ac:dyDescent="0.2">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2.75" customHeight="1" x14ac:dyDescent="0.2">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2.75" customHeight="1" x14ac:dyDescent="0.2">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2.75" customHeight="1" x14ac:dyDescent="0.2">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2.75" customHeight="1" x14ac:dyDescent="0.2">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2.75" customHeight="1" x14ac:dyDescent="0.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2.75" customHeight="1" x14ac:dyDescent="0.2">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2.75" customHeight="1" x14ac:dyDescent="0.2">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2.75" customHeight="1" x14ac:dyDescent="0.2">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2.75" customHeight="1" x14ac:dyDescent="0.2">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2.75" customHeight="1" x14ac:dyDescent="0.2">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2.75" customHeight="1" x14ac:dyDescent="0.2">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2.75" customHeight="1" x14ac:dyDescent="0.2">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2.75" customHeight="1" x14ac:dyDescent="0.2">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2.75" customHeight="1" x14ac:dyDescent="0.2">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2.75" customHeight="1" x14ac:dyDescent="0.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2.75" customHeight="1" x14ac:dyDescent="0.2">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2.75" customHeight="1" x14ac:dyDescent="0.2">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2.75" customHeight="1" x14ac:dyDescent="0.2">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2.75" customHeight="1" x14ac:dyDescent="0.2">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2.75" customHeight="1" x14ac:dyDescent="0.2">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2.75" customHeight="1" x14ac:dyDescent="0.2">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2.75" customHeight="1" x14ac:dyDescent="0.2">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2.75" customHeight="1" x14ac:dyDescent="0.2">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2.75" customHeight="1" x14ac:dyDescent="0.2">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2.75" customHeight="1" x14ac:dyDescent="0.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2.75" customHeight="1" x14ac:dyDescent="0.2">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2.75" customHeight="1" x14ac:dyDescent="0.2">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2.75" customHeight="1" x14ac:dyDescent="0.2">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2.75" customHeight="1" x14ac:dyDescent="0.2">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2.75" customHeight="1" x14ac:dyDescent="0.2">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2.75" customHeight="1" x14ac:dyDescent="0.2">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2.75" customHeight="1" x14ac:dyDescent="0.2">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2.75" customHeight="1" x14ac:dyDescent="0.2">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2.75" customHeight="1" x14ac:dyDescent="0.2">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2.75" customHeight="1" x14ac:dyDescent="0.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2.75" customHeight="1" x14ac:dyDescent="0.2">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2.75" customHeight="1" x14ac:dyDescent="0.2">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2.75" customHeight="1" x14ac:dyDescent="0.2">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2.75" customHeight="1" x14ac:dyDescent="0.2">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2.75" customHeight="1" x14ac:dyDescent="0.2">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2.75" customHeight="1" x14ac:dyDescent="0.2">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2.75" customHeight="1" x14ac:dyDescent="0.2">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2.75" customHeight="1" x14ac:dyDescent="0.2">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2.75" customHeight="1" x14ac:dyDescent="0.2">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2.75" customHeight="1" x14ac:dyDescent="0.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2.75" customHeight="1" x14ac:dyDescent="0.2">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2.75" customHeight="1" x14ac:dyDescent="0.2">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2.75" customHeight="1" x14ac:dyDescent="0.2">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2.75" customHeight="1" x14ac:dyDescent="0.2">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2.75" customHeight="1" x14ac:dyDescent="0.2">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2.75" customHeight="1" x14ac:dyDescent="0.2">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2.75" customHeight="1" x14ac:dyDescent="0.2">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2.75" customHeight="1" x14ac:dyDescent="0.2">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2.75" customHeight="1" x14ac:dyDescent="0.2">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2.75" customHeight="1" x14ac:dyDescent="0.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2.75" customHeight="1" x14ac:dyDescent="0.2">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2.75" customHeight="1" x14ac:dyDescent="0.2">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2.75" customHeight="1" x14ac:dyDescent="0.2">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2.75" customHeight="1" x14ac:dyDescent="0.2">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2.75" customHeight="1" x14ac:dyDescent="0.2">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2.75" customHeight="1" x14ac:dyDescent="0.2">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2.75" customHeight="1" x14ac:dyDescent="0.2">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2.75" customHeight="1" x14ac:dyDescent="0.2">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2.75" customHeight="1" x14ac:dyDescent="0.2">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2.75" customHeight="1" x14ac:dyDescent="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2.75" customHeight="1" x14ac:dyDescent="0.2">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2.75" customHeight="1" x14ac:dyDescent="0.2">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2.75" customHeight="1" x14ac:dyDescent="0.2">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2.75" customHeight="1" x14ac:dyDescent="0.2">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2.75" customHeight="1" x14ac:dyDescent="0.2">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2.75" customHeight="1" x14ac:dyDescent="0.2">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2.75" customHeight="1" x14ac:dyDescent="0.2">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2.75" customHeight="1" x14ac:dyDescent="0.2">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2.75" customHeight="1" x14ac:dyDescent="0.2">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2.75" customHeight="1" x14ac:dyDescent="0.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2.75" customHeight="1" x14ac:dyDescent="0.2">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2.75" customHeight="1" x14ac:dyDescent="0.2">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2.75" customHeight="1" x14ac:dyDescent="0.2">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2.75" customHeight="1" x14ac:dyDescent="0.2">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2.75" customHeight="1" x14ac:dyDescent="0.2">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2.75" customHeight="1" x14ac:dyDescent="0.2">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2.75" customHeight="1" x14ac:dyDescent="0.2">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2.75" customHeight="1" x14ac:dyDescent="0.2">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2.75" customHeight="1" x14ac:dyDescent="0.2">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2.75" customHeight="1" x14ac:dyDescent="0.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2.75" customHeight="1" x14ac:dyDescent="0.2">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2.75" customHeight="1" x14ac:dyDescent="0.2">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2.75" customHeight="1" x14ac:dyDescent="0.2">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2.75" customHeight="1" x14ac:dyDescent="0.2">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2.75" customHeight="1" x14ac:dyDescent="0.2">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2.75" customHeight="1" x14ac:dyDescent="0.2">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2.75" customHeight="1" x14ac:dyDescent="0.2">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2.75" customHeight="1" x14ac:dyDescent="0.2">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2.75" customHeight="1" x14ac:dyDescent="0.2">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2.75" customHeight="1" x14ac:dyDescent="0.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2.75" customHeight="1" x14ac:dyDescent="0.2">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2.75" customHeight="1" x14ac:dyDescent="0.2">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2.75" customHeight="1" x14ac:dyDescent="0.2">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2.75" customHeight="1" x14ac:dyDescent="0.2">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2.75" customHeight="1" x14ac:dyDescent="0.2">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2.75" customHeight="1" x14ac:dyDescent="0.2">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2.75" customHeight="1" x14ac:dyDescent="0.2">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2.75" customHeight="1" x14ac:dyDescent="0.2">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2.75" customHeight="1" x14ac:dyDescent="0.2">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2.75" customHeight="1" x14ac:dyDescent="0.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2.75" customHeight="1" x14ac:dyDescent="0.2">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2.75" customHeight="1" x14ac:dyDescent="0.2">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2.75" customHeight="1" x14ac:dyDescent="0.2">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2.75" customHeight="1" x14ac:dyDescent="0.2">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2.75" customHeight="1" x14ac:dyDescent="0.2">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2.75" customHeight="1" x14ac:dyDescent="0.2">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2.75" customHeight="1" x14ac:dyDescent="0.2">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2.75" customHeight="1" x14ac:dyDescent="0.2">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2.75" customHeight="1" x14ac:dyDescent="0.2">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2.75" customHeight="1" x14ac:dyDescent="0.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2.75" customHeight="1" x14ac:dyDescent="0.2">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2.75" customHeight="1" x14ac:dyDescent="0.2">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2.75" customHeight="1" x14ac:dyDescent="0.2">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2.75" customHeight="1" x14ac:dyDescent="0.2">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2.75" customHeight="1" x14ac:dyDescent="0.2">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2.75" customHeight="1" x14ac:dyDescent="0.2">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2.75" customHeight="1" x14ac:dyDescent="0.2">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2.75" customHeight="1" x14ac:dyDescent="0.2">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2.75" customHeight="1" x14ac:dyDescent="0.2">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2.75" customHeight="1" x14ac:dyDescent="0.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2.75" customHeight="1" x14ac:dyDescent="0.2">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2.75" customHeight="1" x14ac:dyDescent="0.2">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2.75" customHeight="1" x14ac:dyDescent="0.2">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2.75" customHeight="1" x14ac:dyDescent="0.2">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2.75" customHeight="1" x14ac:dyDescent="0.2">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2.75" customHeight="1" x14ac:dyDescent="0.2">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2.75" customHeight="1" x14ac:dyDescent="0.2">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2.75" customHeight="1" x14ac:dyDescent="0.2">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2.75" customHeight="1" x14ac:dyDescent="0.2">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2.75" customHeight="1" x14ac:dyDescent="0.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2.75" customHeight="1" x14ac:dyDescent="0.2">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2.75" customHeight="1" x14ac:dyDescent="0.2">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2.75" customHeight="1" x14ac:dyDescent="0.2">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2.75" customHeight="1" x14ac:dyDescent="0.2">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2.75" customHeight="1" x14ac:dyDescent="0.2">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2.75" customHeight="1" x14ac:dyDescent="0.2">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2.75" customHeight="1" x14ac:dyDescent="0.2">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2.75" customHeight="1" x14ac:dyDescent="0.2">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2.75" customHeight="1" x14ac:dyDescent="0.2">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2.75" customHeight="1" x14ac:dyDescent="0.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2.75" customHeight="1" x14ac:dyDescent="0.2">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2.75" customHeight="1" x14ac:dyDescent="0.2">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2.75" customHeight="1" x14ac:dyDescent="0.2">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2.75" customHeight="1" x14ac:dyDescent="0.2">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2.75" customHeight="1" x14ac:dyDescent="0.2">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2.75" customHeight="1" x14ac:dyDescent="0.2">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2.75" customHeight="1" x14ac:dyDescent="0.2">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2.75" customHeight="1" x14ac:dyDescent="0.2">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2.75" customHeight="1" x14ac:dyDescent="0.2">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2.75" customHeight="1" x14ac:dyDescent="0.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2.75" customHeight="1" x14ac:dyDescent="0.2">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2.75" customHeight="1" x14ac:dyDescent="0.2">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2.75" customHeight="1" x14ac:dyDescent="0.2">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2.75" customHeight="1" x14ac:dyDescent="0.2">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2.75" customHeight="1" x14ac:dyDescent="0.2">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2.75" customHeight="1" x14ac:dyDescent="0.2">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2.75" customHeight="1" x14ac:dyDescent="0.2">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2.75" customHeight="1" x14ac:dyDescent="0.2">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2.75" customHeight="1" x14ac:dyDescent="0.2">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2.75" customHeight="1" x14ac:dyDescent="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2.75" customHeight="1" x14ac:dyDescent="0.2">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2.75" customHeight="1" x14ac:dyDescent="0.2">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2.75" customHeight="1" x14ac:dyDescent="0.2">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2.75" customHeight="1" x14ac:dyDescent="0.2">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2.75" customHeight="1" x14ac:dyDescent="0.2">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2.75" customHeight="1" x14ac:dyDescent="0.2">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2.75" customHeight="1" x14ac:dyDescent="0.2">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2.75" customHeight="1" x14ac:dyDescent="0.2">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2.75" customHeight="1" x14ac:dyDescent="0.2">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2.75" customHeight="1" x14ac:dyDescent="0.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2.75" customHeight="1" x14ac:dyDescent="0.2">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2.75" customHeight="1" x14ac:dyDescent="0.2">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2.75" customHeight="1" x14ac:dyDescent="0.2">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2.75" customHeight="1" x14ac:dyDescent="0.2">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2.75" customHeight="1" x14ac:dyDescent="0.2">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2.75" customHeight="1" x14ac:dyDescent="0.2">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2.75" customHeight="1" x14ac:dyDescent="0.2">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2.75" customHeight="1" x14ac:dyDescent="0.2">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2.75" customHeight="1" x14ac:dyDescent="0.2">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2.75" customHeight="1" x14ac:dyDescent="0.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2.75" customHeight="1" x14ac:dyDescent="0.2">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2.75" customHeight="1" x14ac:dyDescent="0.2">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2.75" customHeight="1" x14ac:dyDescent="0.2">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2.75" customHeight="1" x14ac:dyDescent="0.2">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2.75" customHeight="1" x14ac:dyDescent="0.2">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2.75" customHeight="1" x14ac:dyDescent="0.2">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2.75" customHeight="1" x14ac:dyDescent="0.2">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2.75" customHeight="1" x14ac:dyDescent="0.2">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2.75" customHeight="1" x14ac:dyDescent="0.2">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2.75" customHeight="1" x14ac:dyDescent="0.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2.75" customHeight="1" x14ac:dyDescent="0.2">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2.75" customHeight="1" x14ac:dyDescent="0.2">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2.75" customHeight="1" x14ac:dyDescent="0.2">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2.75" customHeight="1" x14ac:dyDescent="0.2">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2.75" customHeight="1" x14ac:dyDescent="0.2">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2.75" customHeight="1" x14ac:dyDescent="0.2">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2.75" customHeight="1" x14ac:dyDescent="0.2">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2.75" customHeight="1" x14ac:dyDescent="0.2">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2.75" customHeight="1" x14ac:dyDescent="0.2">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2.75" customHeight="1" x14ac:dyDescent="0.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2.75" customHeight="1" x14ac:dyDescent="0.2">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2.75" customHeight="1" x14ac:dyDescent="0.2">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2.75" customHeight="1" x14ac:dyDescent="0.2">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2.75" customHeight="1" x14ac:dyDescent="0.2">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2.75" customHeight="1" x14ac:dyDescent="0.2">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2.75" customHeight="1" x14ac:dyDescent="0.2">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2.75" customHeight="1" x14ac:dyDescent="0.2">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2.75" customHeight="1" x14ac:dyDescent="0.2">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2.75" customHeight="1" x14ac:dyDescent="0.2">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2.75" customHeight="1" x14ac:dyDescent="0.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2.75" customHeight="1" x14ac:dyDescent="0.2">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2.75" customHeight="1" x14ac:dyDescent="0.2">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2.75" customHeight="1" x14ac:dyDescent="0.2">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2.75" customHeight="1" x14ac:dyDescent="0.2">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2.75" customHeight="1" x14ac:dyDescent="0.2">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2.75" customHeight="1" x14ac:dyDescent="0.2">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2.75" customHeight="1" x14ac:dyDescent="0.2">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2.75" customHeight="1" x14ac:dyDescent="0.2">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2.75" customHeight="1" x14ac:dyDescent="0.2">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2.75" customHeight="1" x14ac:dyDescent="0.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2.75" customHeight="1" x14ac:dyDescent="0.2">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2.75" customHeight="1" x14ac:dyDescent="0.2">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2.75" customHeight="1" x14ac:dyDescent="0.2">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2.75" customHeight="1" x14ac:dyDescent="0.2">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2.75" customHeight="1" x14ac:dyDescent="0.2">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2.75" customHeight="1" x14ac:dyDescent="0.2">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2.75" customHeight="1" x14ac:dyDescent="0.2">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2.75" customHeight="1" x14ac:dyDescent="0.2">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2.75" customHeight="1" x14ac:dyDescent="0.2">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2.75" customHeight="1" x14ac:dyDescent="0.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2.75" customHeight="1" x14ac:dyDescent="0.2">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2.75" customHeight="1" x14ac:dyDescent="0.2">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2.75" customHeight="1" x14ac:dyDescent="0.2">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2.75" customHeight="1" x14ac:dyDescent="0.2">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2.75" customHeight="1" x14ac:dyDescent="0.2">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2.75" customHeight="1" x14ac:dyDescent="0.2">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2.75" customHeight="1" x14ac:dyDescent="0.2">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2.75" customHeight="1" x14ac:dyDescent="0.2">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2.75" customHeight="1" x14ac:dyDescent="0.2">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2.75" customHeight="1" x14ac:dyDescent="0.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2.75" customHeight="1" x14ac:dyDescent="0.2">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2.75" customHeight="1" x14ac:dyDescent="0.2">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2.75" customHeight="1" x14ac:dyDescent="0.2">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2.75" customHeight="1" x14ac:dyDescent="0.2">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2.75" customHeight="1" x14ac:dyDescent="0.2">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2.75" customHeight="1" x14ac:dyDescent="0.2">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2.75" customHeight="1" x14ac:dyDescent="0.2">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2.75" customHeight="1" x14ac:dyDescent="0.2">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2.75" customHeight="1" x14ac:dyDescent="0.2">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2.75" customHeight="1" x14ac:dyDescent="0.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2.75" customHeight="1" x14ac:dyDescent="0.2">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2.75" customHeight="1" x14ac:dyDescent="0.2">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2.75" customHeight="1" x14ac:dyDescent="0.2">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2.75" customHeight="1" x14ac:dyDescent="0.2">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2.75" customHeight="1" x14ac:dyDescent="0.2">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2.75" customHeight="1" x14ac:dyDescent="0.2">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2.75" customHeight="1" x14ac:dyDescent="0.2">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2.75" customHeight="1" x14ac:dyDescent="0.2">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workbookViewId="0"/>
  </sheetViews>
  <sheetFormatPr defaultColWidth="14.33203125" defaultRowHeight="15" customHeight="1" x14ac:dyDescent="0.2"/>
  <cols>
    <col min="1" max="1" width="40.83203125" customWidth="1"/>
    <col min="2" max="2" width="45.1640625" customWidth="1"/>
    <col min="3" max="3" width="28.83203125" customWidth="1"/>
    <col min="4" max="26" width="8.83203125" customWidth="1"/>
  </cols>
  <sheetData>
    <row r="1" spans="1:26" ht="27" customHeight="1" x14ac:dyDescent="0.2">
      <c r="A1" s="206" t="s">
        <v>623</v>
      </c>
      <c r="B1" s="169"/>
      <c r="C1" s="170"/>
      <c r="D1" s="41"/>
      <c r="E1" s="41"/>
      <c r="F1" s="41"/>
      <c r="G1" s="41"/>
      <c r="H1" s="41"/>
      <c r="I1" s="41"/>
      <c r="J1" s="41"/>
      <c r="K1" s="41"/>
      <c r="L1" s="41"/>
      <c r="M1" s="41"/>
      <c r="N1" s="41"/>
      <c r="O1" s="41"/>
      <c r="P1" s="41"/>
      <c r="Q1" s="41"/>
      <c r="R1" s="41"/>
      <c r="S1" s="41"/>
      <c r="T1" s="41"/>
      <c r="U1" s="41"/>
      <c r="V1" s="41"/>
      <c r="W1" s="41"/>
      <c r="X1" s="41"/>
      <c r="Y1" s="41"/>
      <c r="Z1" s="41"/>
    </row>
    <row r="2" spans="1:26" ht="12.75" customHeight="1" x14ac:dyDescent="0.2">
      <c r="A2" s="127"/>
      <c r="B2" s="41"/>
      <c r="C2" s="128"/>
      <c r="D2" s="41"/>
      <c r="E2" s="41"/>
      <c r="F2" s="41"/>
      <c r="G2" s="41"/>
      <c r="H2" s="41"/>
      <c r="I2" s="41"/>
      <c r="J2" s="41"/>
      <c r="K2" s="41"/>
      <c r="L2" s="41"/>
      <c r="M2" s="41"/>
      <c r="N2" s="41"/>
      <c r="O2" s="41"/>
      <c r="P2" s="41"/>
      <c r="Q2" s="41"/>
      <c r="R2" s="41"/>
      <c r="S2" s="41"/>
      <c r="T2" s="41"/>
      <c r="U2" s="41"/>
      <c r="V2" s="41"/>
      <c r="W2" s="41"/>
      <c r="X2" s="41"/>
      <c r="Y2" s="41"/>
      <c r="Z2" s="41"/>
    </row>
    <row r="3" spans="1:26" ht="31.5" customHeight="1" x14ac:dyDescent="0.2">
      <c r="A3" s="129" t="s">
        <v>624</v>
      </c>
      <c r="B3" s="130" t="s">
        <v>625</v>
      </c>
      <c r="C3" s="131" t="s">
        <v>626</v>
      </c>
      <c r="D3" s="41"/>
      <c r="E3" s="41"/>
      <c r="F3" s="41"/>
      <c r="G3" s="41"/>
      <c r="H3" s="41"/>
      <c r="I3" s="41"/>
      <c r="J3" s="41"/>
      <c r="K3" s="41"/>
      <c r="L3" s="41"/>
      <c r="M3" s="41"/>
      <c r="N3" s="41"/>
      <c r="O3" s="41"/>
      <c r="P3" s="41"/>
      <c r="Q3" s="41"/>
      <c r="R3" s="41"/>
      <c r="S3" s="41"/>
      <c r="T3" s="41"/>
      <c r="U3" s="41"/>
      <c r="V3" s="41"/>
      <c r="W3" s="41"/>
      <c r="X3" s="41"/>
      <c r="Y3" s="41"/>
      <c r="Z3" s="41"/>
    </row>
    <row r="4" spans="1:26" ht="20.25" customHeight="1" x14ac:dyDescent="0.2">
      <c r="A4" s="132" t="s">
        <v>477</v>
      </c>
      <c r="B4" s="133" t="s">
        <v>627</v>
      </c>
      <c r="C4" s="134" t="s">
        <v>628</v>
      </c>
      <c r="D4" s="41"/>
      <c r="E4" s="41"/>
      <c r="F4" s="41"/>
      <c r="G4" s="41"/>
      <c r="H4" s="41"/>
      <c r="I4" s="41"/>
      <c r="J4" s="41"/>
      <c r="K4" s="41"/>
      <c r="L4" s="41"/>
      <c r="M4" s="41"/>
      <c r="N4" s="41"/>
      <c r="O4" s="41"/>
      <c r="P4" s="41"/>
      <c r="Q4" s="41"/>
      <c r="R4" s="41"/>
      <c r="S4" s="41"/>
      <c r="T4" s="41"/>
      <c r="U4" s="41"/>
      <c r="V4" s="41"/>
      <c r="W4" s="41"/>
      <c r="X4" s="41"/>
      <c r="Y4" s="41"/>
      <c r="Z4" s="41"/>
    </row>
    <row r="5" spans="1:26" ht="20.25" customHeight="1" x14ac:dyDescent="0.2">
      <c r="A5" s="132" t="s">
        <v>174</v>
      </c>
      <c r="B5" s="133" t="s">
        <v>629</v>
      </c>
      <c r="C5" s="134" t="s">
        <v>630</v>
      </c>
      <c r="D5" s="41"/>
      <c r="E5" s="41"/>
      <c r="F5" s="41"/>
      <c r="G5" s="41"/>
      <c r="H5" s="41"/>
      <c r="I5" s="41"/>
      <c r="J5" s="41"/>
      <c r="K5" s="41"/>
      <c r="L5" s="41"/>
      <c r="M5" s="41"/>
      <c r="N5" s="41"/>
      <c r="O5" s="41"/>
      <c r="P5" s="41"/>
      <c r="Q5" s="41"/>
      <c r="R5" s="41"/>
      <c r="S5" s="41"/>
      <c r="T5" s="41"/>
      <c r="U5" s="41"/>
      <c r="V5" s="41"/>
      <c r="W5" s="41"/>
      <c r="X5" s="41"/>
      <c r="Y5" s="41"/>
      <c r="Z5" s="41"/>
    </row>
    <row r="6" spans="1:26" ht="20.25" customHeight="1" x14ac:dyDescent="0.2">
      <c r="A6" s="132" t="s">
        <v>294</v>
      </c>
      <c r="B6" s="133" t="s">
        <v>631</v>
      </c>
      <c r="C6" s="134" t="s">
        <v>631</v>
      </c>
      <c r="D6" s="41"/>
      <c r="E6" s="41"/>
      <c r="F6" s="41"/>
      <c r="G6" s="41"/>
      <c r="H6" s="41"/>
      <c r="I6" s="41"/>
      <c r="J6" s="41"/>
      <c r="K6" s="41"/>
      <c r="L6" s="41"/>
      <c r="M6" s="41"/>
      <c r="N6" s="41"/>
      <c r="O6" s="41"/>
      <c r="P6" s="41"/>
      <c r="Q6" s="41"/>
      <c r="R6" s="41"/>
      <c r="S6" s="41"/>
      <c r="T6" s="41"/>
      <c r="U6" s="41"/>
      <c r="V6" s="41"/>
      <c r="W6" s="41"/>
      <c r="X6" s="41"/>
      <c r="Y6" s="41"/>
      <c r="Z6" s="41"/>
    </row>
    <row r="7" spans="1:26" ht="20.25" customHeight="1" x14ac:dyDescent="0.2">
      <c r="A7" s="132" t="s">
        <v>495</v>
      </c>
      <c r="B7" s="133" t="s">
        <v>632</v>
      </c>
      <c r="C7" s="134" t="s">
        <v>632</v>
      </c>
      <c r="D7" s="41"/>
      <c r="E7" s="41"/>
      <c r="F7" s="41"/>
      <c r="G7" s="41"/>
      <c r="H7" s="41"/>
      <c r="I7" s="41"/>
      <c r="J7" s="41"/>
      <c r="K7" s="41"/>
      <c r="L7" s="41"/>
      <c r="M7" s="41"/>
      <c r="N7" s="41"/>
      <c r="O7" s="41"/>
      <c r="P7" s="41"/>
      <c r="Q7" s="41"/>
      <c r="R7" s="41"/>
      <c r="S7" s="41"/>
      <c r="T7" s="41"/>
      <c r="U7" s="41"/>
      <c r="V7" s="41"/>
      <c r="W7" s="41"/>
      <c r="X7" s="41"/>
      <c r="Y7" s="41"/>
      <c r="Z7" s="41"/>
    </row>
    <row r="8" spans="1:26" ht="35.25" customHeight="1" x14ac:dyDescent="0.2">
      <c r="A8" s="127"/>
      <c r="B8" s="41"/>
      <c r="C8" s="128"/>
      <c r="D8" s="41"/>
      <c r="E8" s="41"/>
      <c r="F8" s="41"/>
      <c r="G8" s="41"/>
      <c r="H8" s="41"/>
      <c r="I8" s="41"/>
      <c r="J8" s="41"/>
      <c r="K8" s="41"/>
      <c r="L8" s="41"/>
      <c r="M8" s="41"/>
      <c r="N8" s="41"/>
      <c r="O8" s="41"/>
      <c r="P8" s="41"/>
      <c r="Q8" s="41"/>
      <c r="R8" s="41"/>
      <c r="S8" s="41"/>
      <c r="T8" s="41"/>
      <c r="U8" s="41"/>
      <c r="V8" s="41"/>
      <c r="W8" s="41"/>
      <c r="X8" s="41"/>
      <c r="Y8" s="41"/>
      <c r="Z8" s="41"/>
    </row>
    <row r="9" spans="1:26" ht="21.75" customHeight="1" x14ac:dyDescent="0.2">
      <c r="A9" s="207" t="s">
        <v>633</v>
      </c>
      <c r="B9" s="157"/>
      <c r="C9" s="158"/>
      <c r="D9" s="41"/>
      <c r="E9" s="41"/>
      <c r="F9" s="41"/>
      <c r="G9" s="41"/>
      <c r="H9" s="41"/>
      <c r="I9" s="41"/>
      <c r="J9" s="41"/>
      <c r="K9" s="41"/>
      <c r="L9" s="41"/>
      <c r="M9" s="41"/>
      <c r="N9" s="41"/>
      <c r="O9" s="41"/>
      <c r="P9" s="41"/>
      <c r="Q9" s="41"/>
      <c r="R9" s="41"/>
      <c r="S9" s="41"/>
      <c r="T9" s="41"/>
      <c r="U9" s="41"/>
      <c r="V9" s="41"/>
      <c r="W9" s="41"/>
      <c r="X9" s="41"/>
      <c r="Y9" s="41"/>
      <c r="Z9" s="41"/>
    </row>
    <row r="10" spans="1:26" ht="15" customHeight="1" x14ac:dyDescent="0.2">
      <c r="A10" s="208" t="s">
        <v>634</v>
      </c>
      <c r="B10" s="157"/>
      <c r="C10" s="158"/>
      <c r="D10" s="41"/>
      <c r="E10" s="41"/>
      <c r="F10" s="41"/>
      <c r="G10" s="41"/>
      <c r="H10" s="41"/>
      <c r="I10" s="41"/>
      <c r="J10" s="41"/>
      <c r="K10" s="41"/>
      <c r="L10" s="41"/>
      <c r="M10" s="41"/>
      <c r="N10" s="41"/>
      <c r="O10" s="41"/>
      <c r="P10" s="41"/>
      <c r="Q10" s="41"/>
      <c r="R10" s="41"/>
      <c r="S10" s="41"/>
      <c r="T10" s="41"/>
      <c r="U10" s="41"/>
      <c r="V10" s="41"/>
      <c r="W10" s="41"/>
      <c r="X10" s="41"/>
      <c r="Y10" s="41"/>
      <c r="Z10" s="41"/>
    </row>
    <row r="11" spans="1:26" ht="28.5" customHeight="1" x14ac:dyDescent="0.2">
      <c r="A11" s="209" t="s">
        <v>635</v>
      </c>
      <c r="B11" s="157"/>
      <c r="C11" s="158"/>
      <c r="D11" s="41"/>
      <c r="E11" s="41"/>
      <c r="F11" s="41"/>
      <c r="G11" s="41"/>
      <c r="H11" s="41"/>
      <c r="I11" s="41"/>
      <c r="J11" s="41"/>
      <c r="K11" s="41"/>
      <c r="L11" s="41"/>
      <c r="M11" s="41"/>
      <c r="N11" s="41"/>
      <c r="O11" s="41"/>
      <c r="P11" s="41"/>
      <c r="Q11" s="41"/>
      <c r="R11" s="41"/>
      <c r="S11" s="41"/>
      <c r="T11" s="41"/>
      <c r="U11" s="41"/>
      <c r="V11" s="41"/>
      <c r="W11" s="41"/>
      <c r="X11" s="41"/>
      <c r="Y11" s="41"/>
      <c r="Z11" s="41"/>
    </row>
    <row r="12" spans="1:26" ht="15" customHeight="1" x14ac:dyDescent="0.2">
      <c r="A12" s="127" t="s">
        <v>636</v>
      </c>
      <c r="B12" s="41"/>
      <c r="C12" s="128"/>
      <c r="D12" s="41"/>
      <c r="E12" s="41"/>
      <c r="F12" s="41"/>
      <c r="G12" s="41"/>
      <c r="H12" s="41"/>
      <c r="I12" s="41"/>
      <c r="J12" s="41"/>
      <c r="K12" s="41"/>
      <c r="L12" s="41"/>
      <c r="M12" s="41"/>
      <c r="N12" s="41"/>
      <c r="O12" s="41"/>
      <c r="P12" s="41"/>
      <c r="Q12" s="41"/>
      <c r="R12" s="41"/>
      <c r="S12" s="41"/>
      <c r="T12" s="41"/>
      <c r="U12" s="41"/>
      <c r="V12" s="41"/>
      <c r="W12" s="41"/>
      <c r="X12" s="41"/>
      <c r="Y12" s="41"/>
      <c r="Z12" s="41"/>
    </row>
    <row r="13" spans="1:26" ht="12.75" customHeight="1" x14ac:dyDescent="0.2">
      <c r="A13" s="209" t="s">
        <v>637</v>
      </c>
      <c r="B13" s="157"/>
      <c r="C13" s="158"/>
      <c r="D13" s="58"/>
      <c r="E13" s="58"/>
      <c r="F13" s="58"/>
      <c r="G13" s="58"/>
      <c r="H13" s="58"/>
      <c r="I13" s="58"/>
      <c r="J13" s="58"/>
      <c r="K13" s="58"/>
      <c r="L13" s="58"/>
      <c r="M13" s="58"/>
      <c r="N13" s="58"/>
      <c r="O13" s="58"/>
      <c r="P13" s="58"/>
      <c r="Q13" s="58"/>
      <c r="R13" s="58"/>
      <c r="S13" s="58"/>
      <c r="T13" s="58"/>
      <c r="U13" s="58"/>
      <c r="V13" s="58"/>
      <c r="W13" s="58"/>
      <c r="X13" s="58"/>
      <c r="Y13" s="58"/>
      <c r="Z13" s="58"/>
    </row>
    <row r="14" spans="1:26" ht="15" customHeight="1" x14ac:dyDescent="0.2">
      <c r="A14" s="205" t="s">
        <v>638</v>
      </c>
      <c r="B14" s="157"/>
      <c r="C14" s="158"/>
      <c r="D14" s="41"/>
      <c r="E14" s="41"/>
      <c r="F14" s="41"/>
      <c r="G14" s="41"/>
      <c r="H14" s="41"/>
      <c r="I14" s="41"/>
      <c r="J14" s="41"/>
      <c r="K14" s="41"/>
      <c r="L14" s="41"/>
      <c r="M14" s="41"/>
      <c r="N14" s="41"/>
      <c r="O14" s="41"/>
      <c r="P14" s="41"/>
      <c r="Q14" s="41"/>
      <c r="R14" s="41"/>
      <c r="S14" s="41"/>
      <c r="T14" s="41"/>
      <c r="U14" s="41"/>
      <c r="V14" s="41"/>
      <c r="W14" s="41"/>
      <c r="X14" s="41"/>
      <c r="Y14" s="41"/>
      <c r="Z14" s="41"/>
    </row>
    <row r="15" spans="1:26" ht="15" customHeight="1" x14ac:dyDescent="0.2">
      <c r="A15" s="205" t="s">
        <v>639</v>
      </c>
      <c r="B15" s="157"/>
      <c r="C15" s="158"/>
      <c r="D15" s="41"/>
      <c r="E15" s="41"/>
      <c r="F15" s="41"/>
      <c r="G15" s="41"/>
      <c r="H15" s="41"/>
      <c r="I15" s="41"/>
      <c r="J15" s="41"/>
      <c r="K15" s="41"/>
      <c r="L15" s="41"/>
      <c r="M15" s="41"/>
      <c r="N15" s="41"/>
      <c r="O15" s="41"/>
      <c r="P15" s="41"/>
      <c r="Q15" s="41"/>
      <c r="R15" s="41"/>
      <c r="S15" s="41"/>
      <c r="T15" s="41"/>
      <c r="U15" s="41"/>
      <c r="V15" s="41"/>
      <c r="W15" s="41"/>
      <c r="X15" s="41"/>
      <c r="Y15" s="41"/>
      <c r="Z15" s="41"/>
    </row>
    <row r="16" spans="1:26" ht="15" customHeight="1" x14ac:dyDescent="0.2">
      <c r="A16" s="127" t="s">
        <v>640</v>
      </c>
      <c r="B16" s="41"/>
      <c r="C16" s="128"/>
      <c r="D16" s="41"/>
      <c r="E16" s="41"/>
      <c r="F16" s="41"/>
      <c r="G16" s="41"/>
      <c r="H16" s="41"/>
      <c r="I16" s="41"/>
      <c r="J16" s="41"/>
      <c r="K16" s="41"/>
      <c r="L16" s="41"/>
      <c r="M16" s="41"/>
      <c r="N16" s="41"/>
      <c r="O16" s="41"/>
      <c r="P16" s="41"/>
      <c r="Q16" s="41"/>
      <c r="R16" s="41"/>
      <c r="S16" s="41"/>
      <c r="T16" s="41"/>
      <c r="U16" s="41"/>
      <c r="V16" s="41"/>
      <c r="W16" s="41"/>
      <c r="X16" s="41"/>
      <c r="Y16" s="41"/>
      <c r="Z16" s="41"/>
    </row>
    <row r="17" spans="1:26" ht="15" customHeight="1" x14ac:dyDescent="0.2">
      <c r="A17" s="210"/>
      <c r="B17" s="157"/>
      <c r="C17" s="158"/>
      <c r="D17" s="41"/>
      <c r="E17" s="41"/>
      <c r="F17" s="41"/>
      <c r="G17" s="41"/>
      <c r="H17" s="41"/>
      <c r="I17" s="41"/>
      <c r="J17" s="41"/>
      <c r="K17" s="41"/>
      <c r="L17" s="41"/>
      <c r="M17" s="41"/>
      <c r="N17" s="41"/>
      <c r="O17" s="41"/>
      <c r="P17" s="41"/>
      <c r="Q17" s="41"/>
      <c r="R17" s="41"/>
      <c r="S17" s="41"/>
      <c r="T17" s="41"/>
      <c r="U17" s="41"/>
      <c r="V17" s="41"/>
      <c r="W17" s="41"/>
      <c r="X17" s="41"/>
      <c r="Y17" s="41"/>
      <c r="Z17" s="41"/>
    </row>
    <row r="18" spans="1:26" ht="15" customHeight="1" x14ac:dyDescent="0.2">
      <c r="A18" s="211" t="s">
        <v>641</v>
      </c>
      <c r="B18" s="157"/>
      <c r="C18" s="158"/>
      <c r="D18" s="41"/>
      <c r="E18" s="41"/>
      <c r="F18" s="41"/>
      <c r="G18" s="41"/>
      <c r="H18" s="41"/>
      <c r="I18" s="41"/>
      <c r="J18" s="41"/>
      <c r="K18" s="41"/>
      <c r="L18" s="41"/>
      <c r="M18" s="41"/>
      <c r="N18" s="41"/>
      <c r="O18" s="41"/>
      <c r="P18" s="41"/>
      <c r="Q18" s="41"/>
      <c r="R18" s="41"/>
      <c r="S18" s="41"/>
      <c r="T18" s="41"/>
      <c r="U18" s="41"/>
      <c r="V18" s="41"/>
      <c r="W18" s="41"/>
      <c r="X18" s="41"/>
      <c r="Y18" s="41"/>
      <c r="Z18" s="41"/>
    </row>
    <row r="19" spans="1:26" ht="15" customHeight="1" x14ac:dyDescent="0.2">
      <c r="A19" s="127" t="s">
        <v>642</v>
      </c>
      <c r="B19" s="41"/>
      <c r="C19" s="128"/>
      <c r="D19" s="41"/>
      <c r="E19" s="41"/>
      <c r="F19" s="41"/>
      <c r="G19" s="41"/>
      <c r="H19" s="41"/>
      <c r="I19" s="41"/>
      <c r="J19" s="41"/>
      <c r="K19" s="41"/>
      <c r="L19" s="41"/>
      <c r="M19" s="41"/>
      <c r="N19" s="41"/>
      <c r="O19" s="41"/>
      <c r="P19" s="41"/>
      <c r="Q19" s="41"/>
      <c r="R19" s="41"/>
      <c r="S19" s="41"/>
      <c r="T19" s="41"/>
      <c r="U19" s="41"/>
      <c r="V19" s="41"/>
      <c r="W19" s="41"/>
      <c r="X19" s="41"/>
      <c r="Y19" s="41"/>
      <c r="Z19" s="41"/>
    </row>
    <row r="20" spans="1:26" ht="15" customHeight="1" x14ac:dyDescent="0.2">
      <c r="A20" s="127" t="s">
        <v>643</v>
      </c>
      <c r="B20" s="41"/>
      <c r="C20" s="128"/>
      <c r="D20" s="41"/>
      <c r="E20" s="41"/>
      <c r="F20" s="41"/>
      <c r="G20" s="41"/>
      <c r="H20" s="41"/>
      <c r="I20" s="41"/>
      <c r="J20" s="41"/>
      <c r="K20" s="41"/>
      <c r="L20" s="41"/>
      <c r="M20" s="41"/>
      <c r="N20" s="41"/>
      <c r="O20" s="41"/>
      <c r="P20" s="41"/>
      <c r="Q20" s="41"/>
      <c r="R20" s="41"/>
      <c r="S20" s="41"/>
      <c r="T20" s="41"/>
      <c r="U20" s="41"/>
      <c r="V20" s="41"/>
      <c r="W20" s="41"/>
      <c r="X20" s="41"/>
      <c r="Y20" s="41"/>
      <c r="Z20" s="41"/>
    </row>
    <row r="21" spans="1:26" ht="15" customHeight="1" x14ac:dyDescent="0.2">
      <c r="A21" s="127" t="s">
        <v>644</v>
      </c>
      <c r="B21" s="41"/>
      <c r="C21" s="128"/>
      <c r="D21" s="41"/>
      <c r="E21" s="41"/>
      <c r="F21" s="41"/>
      <c r="G21" s="41"/>
      <c r="H21" s="41"/>
      <c r="I21" s="41"/>
      <c r="J21" s="41"/>
      <c r="K21" s="41"/>
      <c r="L21" s="41"/>
      <c r="M21" s="41"/>
      <c r="N21" s="41"/>
      <c r="O21" s="41"/>
      <c r="P21" s="41"/>
      <c r="Q21" s="41"/>
      <c r="R21" s="41"/>
      <c r="S21" s="41"/>
      <c r="T21" s="41"/>
      <c r="U21" s="41"/>
      <c r="V21" s="41"/>
      <c r="W21" s="41"/>
      <c r="X21" s="41"/>
      <c r="Y21" s="41"/>
      <c r="Z21" s="41"/>
    </row>
    <row r="22" spans="1:26" ht="15" customHeight="1" x14ac:dyDescent="0.2">
      <c r="A22" s="127" t="s">
        <v>645</v>
      </c>
      <c r="B22" s="41"/>
      <c r="C22" s="128"/>
      <c r="D22" s="41"/>
      <c r="E22" s="41"/>
      <c r="F22" s="41"/>
      <c r="G22" s="41"/>
      <c r="H22" s="41"/>
      <c r="I22" s="41"/>
      <c r="J22" s="41"/>
      <c r="K22" s="41"/>
      <c r="L22" s="41"/>
      <c r="M22" s="41"/>
      <c r="N22" s="41"/>
      <c r="O22" s="41"/>
      <c r="P22" s="41"/>
      <c r="Q22" s="41"/>
      <c r="R22" s="41"/>
      <c r="S22" s="41"/>
      <c r="T22" s="41"/>
      <c r="U22" s="41"/>
      <c r="V22" s="41"/>
      <c r="W22" s="41"/>
      <c r="X22" s="41"/>
      <c r="Y22" s="41"/>
      <c r="Z22" s="41"/>
    </row>
    <row r="23" spans="1:26" ht="15" customHeight="1" x14ac:dyDescent="0.2">
      <c r="A23" s="210"/>
      <c r="B23" s="157"/>
      <c r="C23" s="158"/>
      <c r="D23" s="41"/>
      <c r="E23" s="41"/>
      <c r="F23" s="41"/>
      <c r="G23" s="41"/>
      <c r="H23" s="41"/>
      <c r="I23" s="41"/>
      <c r="J23" s="41"/>
      <c r="K23" s="41"/>
      <c r="L23" s="41"/>
      <c r="M23" s="41"/>
      <c r="N23" s="41"/>
      <c r="O23" s="41"/>
      <c r="P23" s="41"/>
      <c r="Q23" s="41"/>
      <c r="R23" s="41"/>
      <c r="S23" s="41"/>
      <c r="T23" s="41"/>
      <c r="U23" s="41"/>
      <c r="V23" s="41"/>
      <c r="W23" s="41"/>
      <c r="X23" s="41"/>
      <c r="Y23" s="41"/>
      <c r="Z23" s="41"/>
    </row>
    <row r="24" spans="1:26" ht="15" customHeight="1" x14ac:dyDescent="0.2">
      <c r="A24" s="212" t="s">
        <v>646</v>
      </c>
      <c r="B24" s="157"/>
      <c r="C24" s="158"/>
      <c r="D24" s="41"/>
      <c r="E24" s="41"/>
      <c r="F24" s="41"/>
      <c r="G24" s="41"/>
      <c r="H24" s="41"/>
      <c r="I24" s="41"/>
      <c r="J24" s="41"/>
      <c r="K24" s="41"/>
      <c r="L24" s="41"/>
      <c r="M24" s="41"/>
      <c r="N24" s="41"/>
      <c r="O24" s="41"/>
      <c r="P24" s="41"/>
      <c r="Q24" s="41"/>
      <c r="R24" s="41"/>
      <c r="S24" s="41"/>
      <c r="T24" s="41"/>
      <c r="U24" s="41"/>
      <c r="V24" s="41"/>
      <c r="W24" s="41"/>
      <c r="X24" s="41"/>
      <c r="Y24" s="41"/>
      <c r="Z24" s="41"/>
    </row>
    <row r="25" spans="1:26" ht="15" customHeight="1" x14ac:dyDescent="0.2">
      <c r="A25" s="205" t="s">
        <v>647</v>
      </c>
      <c r="B25" s="157"/>
      <c r="C25" s="158"/>
      <c r="D25" s="41"/>
      <c r="E25" s="41"/>
      <c r="F25" s="41"/>
      <c r="G25" s="41"/>
      <c r="H25" s="41"/>
      <c r="I25" s="41"/>
      <c r="J25" s="41"/>
      <c r="K25" s="41"/>
      <c r="L25" s="41"/>
      <c r="M25" s="41"/>
      <c r="N25" s="41"/>
      <c r="O25" s="41"/>
      <c r="P25" s="41"/>
      <c r="Q25" s="41"/>
      <c r="R25" s="41"/>
      <c r="S25" s="41"/>
      <c r="T25" s="41"/>
      <c r="U25" s="41"/>
      <c r="V25" s="41"/>
      <c r="W25" s="41"/>
      <c r="X25" s="41"/>
      <c r="Y25" s="41"/>
      <c r="Z25" s="41"/>
    </row>
    <row r="26" spans="1:26" ht="15" customHeight="1" x14ac:dyDescent="0.2">
      <c r="A26" s="205" t="s">
        <v>648</v>
      </c>
      <c r="B26" s="157"/>
      <c r="C26" s="158"/>
      <c r="D26" s="41"/>
      <c r="E26" s="41"/>
      <c r="F26" s="41"/>
      <c r="G26" s="41"/>
      <c r="H26" s="41"/>
      <c r="I26" s="41"/>
      <c r="J26" s="41"/>
      <c r="K26" s="41"/>
      <c r="L26" s="41"/>
      <c r="M26" s="41"/>
      <c r="N26" s="41"/>
      <c r="O26" s="41"/>
      <c r="P26" s="41"/>
      <c r="Q26" s="41"/>
      <c r="R26" s="41"/>
      <c r="S26" s="41"/>
      <c r="T26" s="41"/>
      <c r="U26" s="41"/>
      <c r="V26" s="41"/>
      <c r="W26" s="41"/>
      <c r="X26" s="41"/>
      <c r="Y26" s="41"/>
      <c r="Z26" s="41"/>
    </row>
    <row r="27" spans="1:26" ht="15" customHeight="1" x14ac:dyDescent="0.2">
      <c r="A27" s="205" t="s">
        <v>649</v>
      </c>
      <c r="B27" s="157"/>
      <c r="C27" s="158"/>
      <c r="D27" s="41"/>
      <c r="E27" s="41"/>
      <c r="F27" s="41"/>
      <c r="G27" s="41"/>
      <c r="H27" s="41"/>
      <c r="I27" s="41"/>
      <c r="J27" s="41"/>
      <c r="K27" s="41"/>
      <c r="L27" s="41"/>
      <c r="M27" s="41"/>
      <c r="N27" s="41"/>
      <c r="O27" s="41"/>
      <c r="P27" s="41"/>
      <c r="Q27" s="41"/>
      <c r="R27" s="41"/>
      <c r="S27" s="41"/>
      <c r="T27" s="41"/>
      <c r="U27" s="41"/>
      <c r="V27" s="41"/>
      <c r="W27" s="41"/>
      <c r="X27" s="41"/>
      <c r="Y27" s="41"/>
      <c r="Z27" s="41"/>
    </row>
    <row r="28" spans="1:26" ht="12.75" customHeight="1" x14ac:dyDescent="0.2">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6" ht="12.75" customHeight="1" x14ac:dyDescent="0.2">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6" ht="12.75" customHeight="1" x14ac:dyDescent="0.2">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6" ht="12.75" customHeight="1" x14ac:dyDescent="0.2">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6" ht="12.75" customHeight="1" x14ac:dyDescent="0.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ht="12.75" customHeight="1" x14ac:dyDescent="0.2">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ht="12.75" customHeight="1" x14ac:dyDescent="0.2">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ht="12.75" customHeight="1" x14ac:dyDescent="0.2">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ht="12.75" customHeight="1" x14ac:dyDescent="0.2">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ht="12.75" customHeight="1" x14ac:dyDescent="0.2">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spans="1:26" ht="12.75" customHeight="1" x14ac:dyDescent="0.2">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spans="1:26" ht="12.75" customHeight="1" x14ac:dyDescent="0.2">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spans="1:26" ht="12.75" customHeight="1" x14ac:dyDescent="0.2">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spans="1:26" ht="12.75" customHeight="1" x14ac:dyDescent="0.2">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2.75" customHeight="1" x14ac:dyDescent="0.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2.75" customHeight="1" x14ac:dyDescent="0.2">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2.75" customHeight="1" x14ac:dyDescent="0.2">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2.75" customHeight="1" x14ac:dyDescent="0.2">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ht="12.75" customHeight="1" x14ac:dyDescent="0.2">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ht="12.75" customHeight="1" x14ac:dyDescent="0.2">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ht="12.75" customHeight="1" x14ac:dyDescent="0.2">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ht="12.75" customHeight="1" x14ac:dyDescent="0.2">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ht="12.75" customHeight="1" x14ac:dyDescent="0.2">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ht="12.75" customHeight="1" x14ac:dyDescent="0.2">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ht="12.75" customHeight="1" x14ac:dyDescent="0.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ht="12.75" customHeight="1" x14ac:dyDescent="0.2">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ht="12.75" customHeight="1" x14ac:dyDescent="0.2">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ht="12.75" customHeight="1" x14ac:dyDescent="0.2">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ht="12.75" customHeight="1" x14ac:dyDescent="0.2">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ht="12.75" customHeight="1" x14ac:dyDescent="0.2">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ht="12.75" customHeight="1" x14ac:dyDescent="0.2">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ht="12.75" customHeight="1" x14ac:dyDescent="0.2">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ht="12.75" customHeight="1" x14ac:dyDescent="0.2">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ht="12.75" customHeight="1" x14ac:dyDescent="0.2">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ht="12.75" customHeight="1" x14ac:dyDescent="0.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ht="12.75" customHeight="1" x14ac:dyDescent="0.2">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ht="12.75" customHeight="1" x14ac:dyDescent="0.2">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ht="12.75" customHeight="1" x14ac:dyDescent="0.2">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ht="12.75" customHeight="1" x14ac:dyDescent="0.2">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ht="12.75" customHeight="1" x14ac:dyDescent="0.2">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ht="12.75" customHeight="1" x14ac:dyDescent="0.2">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ht="12.75" customHeight="1" x14ac:dyDescent="0.2">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ht="12.75" customHeight="1" x14ac:dyDescent="0.2">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ht="12.75" customHeight="1" x14ac:dyDescent="0.2">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ht="12.75" customHeight="1" x14ac:dyDescent="0.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ht="12.75" customHeight="1" x14ac:dyDescent="0.2">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ht="12.75" customHeight="1" x14ac:dyDescent="0.2">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ht="12.75" customHeight="1" x14ac:dyDescent="0.2">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ht="12.75" customHeight="1" x14ac:dyDescent="0.2">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ht="12.75" customHeight="1" x14ac:dyDescent="0.2">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ht="12.75" customHeight="1" x14ac:dyDescent="0.2">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ht="12.75" customHeight="1" x14ac:dyDescent="0.2">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ht="12.75" customHeight="1" x14ac:dyDescent="0.2">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ht="12.75" customHeight="1" x14ac:dyDescent="0.2">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ht="12.75" customHeight="1" x14ac:dyDescent="0.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12.75" customHeight="1" x14ac:dyDescent="0.2">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ht="12.75" customHeight="1" x14ac:dyDescent="0.2">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ht="12.75" customHeight="1" x14ac:dyDescent="0.2">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ht="12.75" customHeight="1" x14ac:dyDescent="0.2">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ht="12.75" customHeight="1" x14ac:dyDescent="0.2">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ht="12.75" customHeight="1" x14ac:dyDescent="0.2">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ht="12.75" customHeight="1" x14ac:dyDescent="0.2">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ht="12.75" customHeight="1" x14ac:dyDescent="0.2">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ht="12.75" customHeight="1" x14ac:dyDescent="0.2">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ht="12.75" customHeight="1" x14ac:dyDescent="0.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ht="12.75" customHeight="1" x14ac:dyDescent="0.2">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ht="12.75" customHeight="1" x14ac:dyDescent="0.2">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ht="12.75" customHeight="1" x14ac:dyDescent="0.2">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ht="12.75" customHeight="1" x14ac:dyDescent="0.2">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ht="12.75" customHeight="1" x14ac:dyDescent="0.2">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ht="12.75" customHeight="1" x14ac:dyDescent="0.2">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ht="12.75" customHeight="1" x14ac:dyDescent="0.2">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ht="12.75" customHeight="1" x14ac:dyDescent="0.2">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ht="12.75" customHeight="1" x14ac:dyDescent="0.2">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ht="12.75" customHeight="1" x14ac:dyDescent="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ht="12.75" customHeight="1" x14ac:dyDescent="0.2">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ht="12.75" customHeight="1" x14ac:dyDescent="0.2">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ht="12.75" customHeight="1" x14ac:dyDescent="0.2">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ht="12.75" customHeight="1" x14ac:dyDescent="0.2">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ht="12.75" customHeight="1" x14ac:dyDescent="0.2">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ht="12.75" customHeight="1" x14ac:dyDescent="0.2">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ht="12.75" customHeight="1" x14ac:dyDescent="0.2">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ht="12.75" customHeight="1" x14ac:dyDescent="0.2">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ht="12.75" customHeight="1" x14ac:dyDescent="0.2">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ht="12.75" customHeight="1" x14ac:dyDescent="0.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ht="12.75" customHeight="1" x14ac:dyDescent="0.2">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ht="12.75" customHeight="1" x14ac:dyDescent="0.2">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ht="12.75" customHeight="1" x14ac:dyDescent="0.2">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ht="12.75" customHeight="1" x14ac:dyDescent="0.2">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ht="12.75" customHeight="1" x14ac:dyDescent="0.2">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ht="12.75" customHeight="1" x14ac:dyDescent="0.2">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ht="12.75" customHeight="1" x14ac:dyDescent="0.2">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ht="12.75" customHeight="1" x14ac:dyDescent="0.2">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ht="12.75" customHeight="1" x14ac:dyDescent="0.2">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ht="12.75" customHeight="1" x14ac:dyDescent="0.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ht="12.75" customHeight="1" x14ac:dyDescent="0.2">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ht="12.75" customHeight="1" x14ac:dyDescent="0.2">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ht="12.75" customHeight="1" x14ac:dyDescent="0.2">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ht="12.75" customHeight="1" x14ac:dyDescent="0.2">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ht="12.75" customHeight="1" x14ac:dyDescent="0.2">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ht="12.75" customHeight="1" x14ac:dyDescent="0.2">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ht="12.75" customHeight="1" x14ac:dyDescent="0.2">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ht="12.75" customHeight="1" x14ac:dyDescent="0.2">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ht="12.75" customHeight="1" x14ac:dyDescent="0.2">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ht="12.75" customHeight="1" x14ac:dyDescent="0.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ht="12.75" customHeight="1" x14ac:dyDescent="0.2">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ht="12.75" customHeight="1" x14ac:dyDescent="0.2">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ht="12.75" customHeight="1" x14ac:dyDescent="0.2">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ht="12.75" customHeight="1" x14ac:dyDescent="0.2">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ht="12.75" customHeight="1" x14ac:dyDescent="0.2">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ht="12.75" customHeight="1" x14ac:dyDescent="0.2">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ht="12.75" customHeight="1" x14ac:dyDescent="0.2">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ht="12.75" customHeight="1" x14ac:dyDescent="0.2">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ht="12.75" customHeight="1" x14ac:dyDescent="0.2">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ht="12.75" customHeight="1" x14ac:dyDescent="0.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ht="12.75" customHeight="1" x14ac:dyDescent="0.2">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ht="12.75" customHeight="1" x14ac:dyDescent="0.2">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ht="12.75" customHeight="1" x14ac:dyDescent="0.2">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ht="12.75" customHeight="1" x14ac:dyDescent="0.2">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ht="12.75" customHeight="1" x14ac:dyDescent="0.2">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ht="12.75" customHeight="1" x14ac:dyDescent="0.2">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ht="12.75" customHeight="1" x14ac:dyDescent="0.2">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ht="12.75" customHeight="1" x14ac:dyDescent="0.2">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ht="12.75" customHeight="1" x14ac:dyDescent="0.2">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ht="12.75" customHeight="1" x14ac:dyDescent="0.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ht="12.75" customHeight="1" x14ac:dyDescent="0.2">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ht="12.75" customHeight="1" x14ac:dyDescent="0.2">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ht="12.75" customHeight="1" x14ac:dyDescent="0.2">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ht="12.75" customHeight="1" x14ac:dyDescent="0.2">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ht="12.75" customHeight="1" x14ac:dyDescent="0.2">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ht="12.75" customHeight="1" x14ac:dyDescent="0.2">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ht="12.75" customHeight="1" x14ac:dyDescent="0.2">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ht="12.75" customHeight="1" x14ac:dyDescent="0.2">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ht="12.75" customHeight="1" x14ac:dyDescent="0.2">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ht="12.75" customHeight="1" x14ac:dyDescent="0.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ht="12.75" customHeight="1" x14ac:dyDescent="0.2">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ht="12.75" customHeight="1" x14ac:dyDescent="0.2">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ht="12.75" customHeight="1" x14ac:dyDescent="0.2">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ht="12.75" customHeight="1" x14ac:dyDescent="0.2">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ht="12.75" customHeight="1" x14ac:dyDescent="0.2">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ht="12.75" customHeight="1" x14ac:dyDescent="0.2">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ht="12.75" customHeight="1" x14ac:dyDescent="0.2">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ht="12.75" customHeight="1" x14ac:dyDescent="0.2">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ht="12.75" customHeight="1" x14ac:dyDescent="0.2">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ht="12.75" customHeight="1" x14ac:dyDescent="0.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ht="12.75" customHeight="1" x14ac:dyDescent="0.2">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ht="12.75" customHeight="1" x14ac:dyDescent="0.2">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ht="12.75" customHeight="1" x14ac:dyDescent="0.2">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ht="12.75" customHeight="1" x14ac:dyDescent="0.2">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ht="12.75" customHeight="1" x14ac:dyDescent="0.2">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ht="12.75" customHeight="1" x14ac:dyDescent="0.2">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ht="12.75" customHeight="1" x14ac:dyDescent="0.2">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ht="12.75" customHeight="1" x14ac:dyDescent="0.2">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ht="12.75" customHeight="1" x14ac:dyDescent="0.2">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ht="12.75" customHeight="1" x14ac:dyDescent="0.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ht="12.75" customHeight="1" x14ac:dyDescent="0.2">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ht="12.75" customHeight="1" x14ac:dyDescent="0.2">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ht="12.75" customHeight="1" x14ac:dyDescent="0.2">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ht="12.75" customHeight="1" x14ac:dyDescent="0.2">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ht="12.75" customHeight="1" x14ac:dyDescent="0.2">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ht="12.75" customHeight="1" x14ac:dyDescent="0.2">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ht="12.75" customHeight="1" x14ac:dyDescent="0.2">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ht="12.75" customHeight="1" x14ac:dyDescent="0.2">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ht="12.75" customHeight="1" x14ac:dyDescent="0.2">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ht="12.75" customHeight="1" x14ac:dyDescent="0.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ht="12.75" customHeight="1" x14ac:dyDescent="0.2">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ht="12.75" customHeight="1" x14ac:dyDescent="0.2">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ht="12.75" customHeight="1" x14ac:dyDescent="0.2">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ht="12.75" customHeight="1" x14ac:dyDescent="0.2">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ht="12.75" customHeight="1" x14ac:dyDescent="0.2">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ht="12.75" customHeight="1" x14ac:dyDescent="0.2">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ht="12.75" customHeight="1" x14ac:dyDescent="0.2">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ht="12.75" customHeight="1" x14ac:dyDescent="0.2">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ht="12.75" customHeight="1" x14ac:dyDescent="0.2">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ht="12.75" customHeight="1" x14ac:dyDescent="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ht="12.75" customHeight="1" x14ac:dyDescent="0.2">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ht="12.75" customHeight="1" x14ac:dyDescent="0.2">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ht="12.75" customHeight="1" x14ac:dyDescent="0.2">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ht="12.75" customHeight="1" x14ac:dyDescent="0.2">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ht="12.75" customHeight="1" x14ac:dyDescent="0.2">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ht="12.75" customHeight="1" x14ac:dyDescent="0.2">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ht="12.75" customHeight="1" x14ac:dyDescent="0.2">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ht="12.75" customHeight="1" x14ac:dyDescent="0.2">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ht="12.75" customHeight="1" x14ac:dyDescent="0.2">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ht="12.75" customHeight="1" x14ac:dyDescent="0.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ht="12.75" customHeight="1" x14ac:dyDescent="0.2">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ht="12.75" customHeight="1" x14ac:dyDescent="0.2">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ht="12.75" customHeight="1" x14ac:dyDescent="0.2">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ht="12.75" customHeight="1" x14ac:dyDescent="0.2">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ht="12.75" customHeight="1" x14ac:dyDescent="0.2">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ht="12.75" customHeight="1" x14ac:dyDescent="0.2">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ht="12.75" customHeight="1" x14ac:dyDescent="0.2">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ht="12.75" customHeight="1" x14ac:dyDescent="0.2">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ht="12.75" customHeight="1" x14ac:dyDescent="0.2">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ht="12.75" customHeight="1" x14ac:dyDescent="0.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ht="12.75" customHeight="1" x14ac:dyDescent="0.2">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ht="12.75" customHeight="1" x14ac:dyDescent="0.2">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ht="12.75" customHeight="1" x14ac:dyDescent="0.2">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ht="12.75" customHeight="1" x14ac:dyDescent="0.2">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ht="12.75" customHeight="1" x14ac:dyDescent="0.2">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ht="12.75" customHeight="1" x14ac:dyDescent="0.2">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ht="12.75" customHeight="1" x14ac:dyDescent="0.2">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ht="12.75" customHeight="1" x14ac:dyDescent="0.2">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ht="12.75" customHeight="1" x14ac:dyDescent="0.2">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ht="12.75" customHeight="1" x14ac:dyDescent="0.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ht="12.75" customHeight="1" x14ac:dyDescent="0.2">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ht="12.75" customHeight="1" x14ac:dyDescent="0.2">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ht="12.75" customHeight="1" x14ac:dyDescent="0.2">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ht="12.75" customHeight="1" x14ac:dyDescent="0.2">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ht="12.75" customHeight="1" x14ac:dyDescent="0.2">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ht="12.75" customHeight="1" x14ac:dyDescent="0.2">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ht="12.75" customHeight="1" x14ac:dyDescent="0.2">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ht="12.75" customHeight="1" x14ac:dyDescent="0.2">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ht="12.75" customHeight="1" x14ac:dyDescent="0.2">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ht="12.75" customHeight="1" x14ac:dyDescent="0.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ht="12.75" customHeight="1" x14ac:dyDescent="0.2">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ht="12.75" customHeight="1" x14ac:dyDescent="0.2">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ht="12.75" customHeight="1" x14ac:dyDescent="0.2">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ht="12.75" customHeight="1" x14ac:dyDescent="0.2">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ht="12.75" customHeight="1" x14ac:dyDescent="0.2">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ht="12.75" customHeight="1" x14ac:dyDescent="0.2">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ht="12.75" customHeight="1" x14ac:dyDescent="0.2">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ht="12.75" customHeight="1" x14ac:dyDescent="0.2">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ht="12.75" customHeight="1" x14ac:dyDescent="0.2">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ht="12.75" customHeight="1" x14ac:dyDescent="0.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ht="12.75" customHeight="1" x14ac:dyDescent="0.2">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ht="12.75" customHeight="1" x14ac:dyDescent="0.2">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ht="12.75" customHeight="1" x14ac:dyDescent="0.2">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ht="12.75" customHeight="1" x14ac:dyDescent="0.2">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ht="12.75" customHeight="1" x14ac:dyDescent="0.2">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ht="12.75" customHeight="1" x14ac:dyDescent="0.2">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ht="12.75" customHeight="1" x14ac:dyDescent="0.2">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ht="12.75" customHeight="1" x14ac:dyDescent="0.2">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ht="12.75" customHeight="1" x14ac:dyDescent="0.2">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ht="12.75" customHeight="1" x14ac:dyDescent="0.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ht="12.75" customHeight="1" x14ac:dyDescent="0.2">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ht="12.75" customHeight="1" x14ac:dyDescent="0.2">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ht="12.75" customHeight="1" x14ac:dyDescent="0.2">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ht="12.75" customHeight="1" x14ac:dyDescent="0.2">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ht="12.75" customHeight="1" x14ac:dyDescent="0.2">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ht="12.75" customHeight="1" x14ac:dyDescent="0.2">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ht="12.75" customHeight="1" x14ac:dyDescent="0.2">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ht="12.75" customHeight="1" x14ac:dyDescent="0.2">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ht="12.75" customHeight="1" x14ac:dyDescent="0.2">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ht="12.75" customHeight="1" x14ac:dyDescent="0.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ht="12.75" customHeight="1" x14ac:dyDescent="0.2">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ht="12.75" customHeight="1" x14ac:dyDescent="0.2">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ht="12.75" customHeight="1" x14ac:dyDescent="0.2">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ht="12.75" customHeight="1" x14ac:dyDescent="0.2">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ht="12.75" customHeight="1" x14ac:dyDescent="0.2">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ht="12.75" customHeight="1" x14ac:dyDescent="0.2">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ht="12.75" customHeight="1" x14ac:dyDescent="0.2">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ht="12.75" customHeight="1" x14ac:dyDescent="0.2">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ht="12.75" customHeight="1" x14ac:dyDescent="0.2">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ht="12.75" customHeight="1" x14ac:dyDescent="0.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ht="12.75" customHeight="1" x14ac:dyDescent="0.2">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ht="12.75" customHeight="1" x14ac:dyDescent="0.2">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ht="12.75" customHeight="1" x14ac:dyDescent="0.2">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ht="12.75" customHeight="1" x14ac:dyDescent="0.2">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ht="12.75" customHeight="1" x14ac:dyDescent="0.2">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ht="12.75" customHeight="1" x14ac:dyDescent="0.2">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ht="12.75" customHeight="1" x14ac:dyDescent="0.2">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ht="12.75" customHeight="1" x14ac:dyDescent="0.2">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ht="12.75" customHeight="1" x14ac:dyDescent="0.2">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ht="12.75" customHeight="1" x14ac:dyDescent="0.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ht="12.75" customHeight="1" x14ac:dyDescent="0.2">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ht="12.75" customHeight="1" x14ac:dyDescent="0.2">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ht="12.75" customHeight="1" x14ac:dyDescent="0.2">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ht="12.75" customHeight="1" x14ac:dyDescent="0.2">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ht="12.75" customHeight="1" x14ac:dyDescent="0.2">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ht="12.75" customHeight="1" x14ac:dyDescent="0.2">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ht="12.75" customHeight="1" x14ac:dyDescent="0.2">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ht="12.75" customHeight="1" x14ac:dyDescent="0.2">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ht="12.75" customHeight="1" x14ac:dyDescent="0.2">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ht="12.75" customHeight="1" x14ac:dyDescent="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ht="12.75" customHeight="1" x14ac:dyDescent="0.2">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ht="12.75" customHeight="1" x14ac:dyDescent="0.2">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ht="12.75" customHeight="1" x14ac:dyDescent="0.2">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ht="12.75" customHeight="1" x14ac:dyDescent="0.2">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ht="12.75" customHeight="1" x14ac:dyDescent="0.2">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ht="12.75" customHeight="1" x14ac:dyDescent="0.2">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ht="12.75" customHeight="1" x14ac:dyDescent="0.2">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ht="12.75" customHeight="1" x14ac:dyDescent="0.2">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ht="12.75" customHeight="1" x14ac:dyDescent="0.2">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ht="12.75" customHeight="1" x14ac:dyDescent="0.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ht="12.75" customHeight="1" x14ac:dyDescent="0.2">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ht="12.75" customHeight="1" x14ac:dyDescent="0.2">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ht="12.75" customHeight="1" x14ac:dyDescent="0.2">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ht="12.75" customHeight="1" x14ac:dyDescent="0.2">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ht="12.75" customHeight="1" x14ac:dyDescent="0.2">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ht="12.75" customHeight="1" x14ac:dyDescent="0.2">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ht="12.75" customHeight="1" x14ac:dyDescent="0.2">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ht="12.75" customHeight="1" x14ac:dyDescent="0.2">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ht="12.75" customHeight="1" x14ac:dyDescent="0.2">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ht="12.75" customHeight="1" x14ac:dyDescent="0.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ht="12.75" customHeight="1" x14ac:dyDescent="0.2">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ht="12.75" customHeight="1" x14ac:dyDescent="0.2">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ht="12.75" customHeight="1" x14ac:dyDescent="0.2">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ht="12.75" customHeight="1" x14ac:dyDescent="0.2">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ht="12.75" customHeight="1" x14ac:dyDescent="0.2">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ht="12.75" customHeight="1" x14ac:dyDescent="0.2">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ht="12.75" customHeight="1" x14ac:dyDescent="0.2">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ht="12.75" customHeight="1" x14ac:dyDescent="0.2">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ht="12.75" customHeight="1" x14ac:dyDescent="0.2">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ht="12.75" customHeight="1" x14ac:dyDescent="0.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ht="12.75" customHeight="1" x14ac:dyDescent="0.2">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ht="12.75" customHeight="1" x14ac:dyDescent="0.2">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ht="12.75" customHeight="1" x14ac:dyDescent="0.2">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ht="12.75" customHeight="1" x14ac:dyDescent="0.2">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ht="12.75" customHeight="1" x14ac:dyDescent="0.2">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ht="12.75" customHeight="1" x14ac:dyDescent="0.2">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ht="12.75" customHeight="1" x14ac:dyDescent="0.2">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ht="12.75" customHeight="1" x14ac:dyDescent="0.2">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ht="12.75" customHeight="1" x14ac:dyDescent="0.2">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ht="12.75" customHeight="1" x14ac:dyDescent="0.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ht="12.75" customHeight="1" x14ac:dyDescent="0.2">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ht="12.75" customHeight="1" x14ac:dyDescent="0.2">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ht="12.75" customHeight="1" x14ac:dyDescent="0.2">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ht="12.75" customHeight="1" x14ac:dyDescent="0.2">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ht="12.75" customHeight="1" x14ac:dyDescent="0.2">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ht="12.75" customHeight="1" x14ac:dyDescent="0.2">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ht="12.75" customHeight="1" x14ac:dyDescent="0.2">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ht="12.75" customHeight="1" x14ac:dyDescent="0.2">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ht="12.75" customHeight="1" x14ac:dyDescent="0.2">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ht="12.75" customHeight="1" x14ac:dyDescent="0.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ht="12.75" customHeight="1" x14ac:dyDescent="0.2">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ht="12.75" customHeight="1" x14ac:dyDescent="0.2">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ht="12.75" customHeight="1" x14ac:dyDescent="0.2">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ht="12.75" customHeight="1" x14ac:dyDescent="0.2">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ht="12.75" customHeight="1" x14ac:dyDescent="0.2">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ht="12.75" customHeight="1" x14ac:dyDescent="0.2">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ht="12.75" customHeight="1" x14ac:dyDescent="0.2">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ht="12.75" customHeight="1" x14ac:dyDescent="0.2">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ht="12.75" customHeight="1" x14ac:dyDescent="0.2">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ht="12.75" customHeight="1" x14ac:dyDescent="0.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ht="12.75" customHeight="1" x14ac:dyDescent="0.2">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ht="12.75" customHeight="1" x14ac:dyDescent="0.2">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ht="12.75" customHeight="1" x14ac:dyDescent="0.2">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ht="12.75" customHeight="1" x14ac:dyDescent="0.2">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ht="12.75" customHeight="1" x14ac:dyDescent="0.2">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ht="12.75" customHeight="1" x14ac:dyDescent="0.2">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ht="12.75" customHeight="1" x14ac:dyDescent="0.2">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ht="12.75" customHeight="1" x14ac:dyDescent="0.2">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ht="12.75" customHeight="1" x14ac:dyDescent="0.2">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ht="12.75" customHeight="1" x14ac:dyDescent="0.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ht="12.75" customHeight="1" x14ac:dyDescent="0.2">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ht="12.75" customHeight="1" x14ac:dyDescent="0.2">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ht="12.75" customHeight="1" x14ac:dyDescent="0.2">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ht="12.75" customHeight="1" x14ac:dyDescent="0.2">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ht="12.75" customHeight="1" x14ac:dyDescent="0.2">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ht="12.75" customHeight="1" x14ac:dyDescent="0.2">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ht="12.75" customHeight="1" x14ac:dyDescent="0.2">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ht="12.75" customHeight="1" x14ac:dyDescent="0.2">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ht="12.75" customHeight="1" x14ac:dyDescent="0.2">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ht="12.75" customHeight="1" x14ac:dyDescent="0.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ht="12.75" customHeight="1" x14ac:dyDescent="0.2">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ht="12.75" customHeight="1" x14ac:dyDescent="0.2">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ht="12.75" customHeight="1" x14ac:dyDescent="0.2">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ht="12.75" customHeight="1" x14ac:dyDescent="0.2">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ht="12.75" customHeight="1" x14ac:dyDescent="0.2">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ht="12.75" customHeight="1" x14ac:dyDescent="0.2">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ht="12.75" customHeight="1" x14ac:dyDescent="0.2">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ht="12.75" customHeight="1" x14ac:dyDescent="0.2">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ht="12.75" customHeight="1" x14ac:dyDescent="0.2">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ht="12.75" customHeight="1" x14ac:dyDescent="0.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ht="12.75" customHeight="1" x14ac:dyDescent="0.2">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ht="12.75" customHeight="1" x14ac:dyDescent="0.2">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ht="12.75" customHeight="1" x14ac:dyDescent="0.2">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ht="12.75" customHeight="1" x14ac:dyDescent="0.2">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ht="12.75" customHeight="1" x14ac:dyDescent="0.2">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ht="12.75" customHeight="1" x14ac:dyDescent="0.2">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ht="12.75" customHeight="1" x14ac:dyDescent="0.2">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ht="12.75" customHeight="1" x14ac:dyDescent="0.2">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ht="12.75" customHeight="1" x14ac:dyDescent="0.2">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ht="12.75" customHeight="1" x14ac:dyDescent="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ht="12.75" customHeight="1" x14ac:dyDescent="0.2">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ht="12.75" customHeight="1" x14ac:dyDescent="0.2">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ht="12.75" customHeight="1" x14ac:dyDescent="0.2">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ht="12.75" customHeight="1" x14ac:dyDescent="0.2">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ht="12.75" customHeight="1" x14ac:dyDescent="0.2">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ht="12.75" customHeight="1" x14ac:dyDescent="0.2">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ht="12.75" customHeight="1" x14ac:dyDescent="0.2">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ht="12.75" customHeight="1" x14ac:dyDescent="0.2">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ht="12.75" customHeight="1" x14ac:dyDescent="0.2">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ht="12.75" customHeight="1" x14ac:dyDescent="0.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ht="12.75" customHeight="1" x14ac:dyDescent="0.2">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ht="12.75" customHeight="1" x14ac:dyDescent="0.2">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ht="12.75" customHeight="1" x14ac:dyDescent="0.2">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ht="12.75" customHeight="1" x14ac:dyDescent="0.2">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ht="12.75" customHeight="1" x14ac:dyDescent="0.2">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ht="12.75" customHeight="1" x14ac:dyDescent="0.2">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ht="12.75" customHeight="1" x14ac:dyDescent="0.2">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ht="12.75" customHeight="1" x14ac:dyDescent="0.2">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ht="12.75" customHeight="1" x14ac:dyDescent="0.2">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ht="12.75" customHeight="1" x14ac:dyDescent="0.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ht="12.75" customHeight="1" x14ac:dyDescent="0.2">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ht="12.75" customHeight="1" x14ac:dyDescent="0.2">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ht="12.75" customHeight="1" x14ac:dyDescent="0.2">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ht="12.75" customHeight="1" x14ac:dyDescent="0.2">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ht="12.75" customHeight="1" x14ac:dyDescent="0.2">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ht="12.75" customHeight="1" x14ac:dyDescent="0.2">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ht="12.75" customHeight="1" x14ac:dyDescent="0.2">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ht="12.75" customHeight="1" x14ac:dyDescent="0.2">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ht="12.75" customHeight="1" x14ac:dyDescent="0.2">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ht="12.75" customHeight="1" x14ac:dyDescent="0.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ht="12.75" customHeight="1" x14ac:dyDescent="0.2">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ht="12.75" customHeight="1" x14ac:dyDescent="0.2">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ht="12.75" customHeight="1" x14ac:dyDescent="0.2">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ht="12.75" customHeight="1" x14ac:dyDescent="0.2">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ht="12.75" customHeight="1" x14ac:dyDescent="0.2">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ht="12.75" customHeight="1" x14ac:dyDescent="0.2">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ht="12.75" customHeight="1" x14ac:dyDescent="0.2">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ht="12.75" customHeight="1" x14ac:dyDescent="0.2">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ht="12.75" customHeight="1" x14ac:dyDescent="0.2">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ht="12.75" customHeight="1" x14ac:dyDescent="0.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ht="12.75" customHeight="1" x14ac:dyDescent="0.2">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ht="12.75" customHeight="1" x14ac:dyDescent="0.2">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ht="12.75" customHeight="1" x14ac:dyDescent="0.2">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ht="12.75" customHeight="1" x14ac:dyDescent="0.2">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ht="12.75" customHeight="1" x14ac:dyDescent="0.2">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ht="12.75" customHeight="1" x14ac:dyDescent="0.2">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ht="12.75" customHeight="1" x14ac:dyDescent="0.2">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ht="12.75" customHeight="1" x14ac:dyDescent="0.2">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ht="12.75" customHeight="1" x14ac:dyDescent="0.2">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ht="12.75" customHeight="1" x14ac:dyDescent="0.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ht="12.75" customHeight="1" x14ac:dyDescent="0.2">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ht="12.75" customHeight="1" x14ac:dyDescent="0.2">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ht="12.75" customHeight="1" x14ac:dyDescent="0.2">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ht="12.75" customHeight="1" x14ac:dyDescent="0.2">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ht="12.75" customHeight="1" x14ac:dyDescent="0.2">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ht="12.75" customHeight="1" x14ac:dyDescent="0.2">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ht="12.75" customHeight="1" x14ac:dyDescent="0.2">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ht="12.75" customHeight="1" x14ac:dyDescent="0.2">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ht="12.75" customHeight="1" x14ac:dyDescent="0.2">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ht="12.75" customHeight="1" x14ac:dyDescent="0.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ht="12.75" customHeight="1" x14ac:dyDescent="0.2">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ht="12.75" customHeight="1" x14ac:dyDescent="0.2">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ht="12.75" customHeight="1" x14ac:dyDescent="0.2">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ht="12.75" customHeight="1" x14ac:dyDescent="0.2">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ht="12.75" customHeight="1" x14ac:dyDescent="0.2">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ht="12.75" customHeight="1" x14ac:dyDescent="0.2">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ht="12.75" customHeight="1" x14ac:dyDescent="0.2">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ht="12.75" customHeight="1" x14ac:dyDescent="0.2">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ht="12.75" customHeight="1" x14ac:dyDescent="0.2">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ht="12.75" customHeight="1" x14ac:dyDescent="0.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ht="12.75" customHeight="1" x14ac:dyDescent="0.2">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ht="12.75" customHeight="1" x14ac:dyDescent="0.2">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ht="12.75" customHeight="1" x14ac:dyDescent="0.2">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ht="12.75" customHeight="1" x14ac:dyDescent="0.2">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ht="12.75" customHeight="1" x14ac:dyDescent="0.2">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ht="12.75" customHeight="1" x14ac:dyDescent="0.2">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ht="12.75" customHeight="1" x14ac:dyDescent="0.2">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ht="12.75" customHeight="1" x14ac:dyDescent="0.2">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ht="12.75" customHeight="1" x14ac:dyDescent="0.2">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ht="12.75" customHeight="1" x14ac:dyDescent="0.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ht="12.75" customHeight="1" x14ac:dyDescent="0.2">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ht="12.75" customHeight="1" x14ac:dyDescent="0.2">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ht="12.75" customHeight="1" x14ac:dyDescent="0.2">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ht="12.75" customHeight="1" x14ac:dyDescent="0.2">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ht="12.75" customHeight="1" x14ac:dyDescent="0.2">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ht="12.75" customHeight="1" x14ac:dyDescent="0.2">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ht="12.75" customHeight="1" x14ac:dyDescent="0.2">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ht="12.75" customHeight="1" x14ac:dyDescent="0.2">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ht="12.75" customHeight="1" x14ac:dyDescent="0.2">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ht="12.75" customHeight="1" x14ac:dyDescent="0.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ht="12.75" customHeight="1" x14ac:dyDescent="0.2">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ht="12.75" customHeight="1" x14ac:dyDescent="0.2">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ht="12.75" customHeight="1" x14ac:dyDescent="0.2">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ht="12.75" customHeight="1" x14ac:dyDescent="0.2">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ht="12.75" customHeight="1" x14ac:dyDescent="0.2">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ht="12.75" customHeight="1" x14ac:dyDescent="0.2">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ht="12.75" customHeight="1" x14ac:dyDescent="0.2">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ht="12.75" customHeight="1" x14ac:dyDescent="0.2">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ht="12.75" customHeight="1" x14ac:dyDescent="0.2">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ht="12.75" customHeight="1" x14ac:dyDescent="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ht="12.75" customHeight="1" x14ac:dyDescent="0.2">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ht="12.75" customHeight="1" x14ac:dyDescent="0.2">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ht="12.75" customHeight="1" x14ac:dyDescent="0.2">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ht="12.75" customHeight="1" x14ac:dyDescent="0.2">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ht="12.75" customHeight="1" x14ac:dyDescent="0.2">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ht="12.75" customHeight="1" x14ac:dyDescent="0.2">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ht="12.75" customHeight="1" x14ac:dyDescent="0.2">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ht="12.75" customHeight="1" x14ac:dyDescent="0.2">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ht="12.75" customHeight="1" x14ac:dyDescent="0.2">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ht="12.75" customHeight="1" x14ac:dyDescent="0.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ht="12.75" customHeight="1" x14ac:dyDescent="0.2">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ht="12.75" customHeight="1" x14ac:dyDescent="0.2">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ht="12.75" customHeight="1" x14ac:dyDescent="0.2">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ht="12.75" customHeight="1" x14ac:dyDescent="0.2">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ht="12.75" customHeight="1" x14ac:dyDescent="0.2">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ht="12.75" customHeight="1" x14ac:dyDescent="0.2">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ht="12.75" customHeight="1" x14ac:dyDescent="0.2">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ht="12.75" customHeight="1" x14ac:dyDescent="0.2">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ht="12.75" customHeight="1" x14ac:dyDescent="0.2">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ht="12.75" customHeight="1" x14ac:dyDescent="0.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ht="12.75" customHeight="1" x14ac:dyDescent="0.2">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ht="12.75" customHeight="1" x14ac:dyDescent="0.2">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ht="12.75" customHeight="1" x14ac:dyDescent="0.2">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ht="12.75" customHeight="1" x14ac:dyDescent="0.2">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ht="12.75" customHeight="1" x14ac:dyDescent="0.2">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ht="12.75" customHeight="1" x14ac:dyDescent="0.2">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ht="12.75" customHeight="1" x14ac:dyDescent="0.2">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ht="12.75" customHeight="1" x14ac:dyDescent="0.2">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ht="12.75" customHeight="1" x14ac:dyDescent="0.2">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ht="12.75" customHeight="1" x14ac:dyDescent="0.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ht="12.75" customHeight="1" x14ac:dyDescent="0.2">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ht="12.75" customHeight="1" x14ac:dyDescent="0.2">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ht="12.75" customHeight="1" x14ac:dyDescent="0.2">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ht="12.75" customHeight="1" x14ac:dyDescent="0.2">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ht="12.75" customHeight="1" x14ac:dyDescent="0.2">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ht="12.75" customHeight="1" x14ac:dyDescent="0.2">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ht="12.75" customHeight="1" x14ac:dyDescent="0.2">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ht="12.75" customHeight="1" x14ac:dyDescent="0.2">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ht="12.75" customHeight="1" x14ac:dyDescent="0.2">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ht="12.75" customHeight="1" x14ac:dyDescent="0.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ht="12.75" customHeight="1" x14ac:dyDescent="0.2">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ht="12.75" customHeight="1" x14ac:dyDescent="0.2">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ht="12.75" customHeight="1" x14ac:dyDescent="0.2">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ht="12.75" customHeight="1" x14ac:dyDescent="0.2">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ht="12.75" customHeight="1" x14ac:dyDescent="0.2">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ht="12.75" customHeight="1" x14ac:dyDescent="0.2">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ht="12.75" customHeight="1" x14ac:dyDescent="0.2">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ht="12.75" customHeight="1" x14ac:dyDescent="0.2">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ht="12.75" customHeight="1" x14ac:dyDescent="0.2">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ht="12.75" customHeight="1" x14ac:dyDescent="0.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ht="12.75" customHeight="1" x14ac:dyDescent="0.2">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ht="12.75" customHeight="1" x14ac:dyDescent="0.2">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ht="12.75" customHeight="1" x14ac:dyDescent="0.2">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ht="12.75" customHeight="1" x14ac:dyDescent="0.2">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ht="12.75" customHeight="1" x14ac:dyDescent="0.2">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ht="12.75" customHeight="1" x14ac:dyDescent="0.2">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ht="12.75" customHeight="1" x14ac:dyDescent="0.2">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ht="12.75" customHeight="1" x14ac:dyDescent="0.2">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ht="12.75" customHeight="1" x14ac:dyDescent="0.2">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ht="12.75" customHeight="1" x14ac:dyDescent="0.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ht="12.75" customHeight="1" x14ac:dyDescent="0.2">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ht="12.75" customHeight="1" x14ac:dyDescent="0.2">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ht="12.75" customHeight="1" x14ac:dyDescent="0.2">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ht="12.75" customHeight="1" x14ac:dyDescent="0.2">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ht="12.75" customHeight="1" x14ac:dyDescent="0.2">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ht="12.75" customHeight="1" x14ac:dyDescent="0.2">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ht="12.75" customHeight="1" x14ac:dyDescent="0.2">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ht="12.75" customHeight="1" x14ac:dyDescent="0.2">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ht="12.75" customHeight="1" x14ac:dyDescent="0.2">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ht="12.75" customHeight="1" x14ac:dyDescent="0.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ht="12.75" customHeight="1" x14ac:dyDescent="0.2">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ht="12.75" customHeight="1" x14ac:dyDescent="0.2">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ht="12.75" customHeight="1" x14ac:dyDescent="0.2">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ht="12.75" customHeight="1" x14ac:dyDescent="0.2">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ht="12.75" customHeight="1" x14ac:dyDescent="0.2">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ht="12.75" customHeight="1" x14ac:dyDescent="0.2">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ht="12.75" customHeight="1" x14ac:dyDescent="0.2">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ht="12.75" customHeight="1" x14ac:dyDescent="0.2">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ht="12.75" customHeight="1" x14ac:dyDescent="0.2">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ht="12.75" customHeight="1" x14ac:dyDescent="0.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ht="12.75" customHeight="1" x14ac:dyDescent="0.2">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ht="12.75" customHeight="1" x14ac:dyDescent="0.2">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ht="12.75" customHeight="1" x14ac:dyDescent="0.2">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ht="12.75" customHeight="1" x14ac:dyDescent="0.2">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ht="12.75" customHeight="1" x14ac:dyDescent="0.2">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ht="12.75" customHeight="1" x14ac:dyDescent="0.2">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ht="12.75" customHeight="1" x14ac:dyDescent="0.2">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ht="12.75" customHeight="1" x14ac:dyDescent="0.2">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ht="12.75" customHeight="1" x14ac:dyDescent="0.2">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ht="12.75" customHeight="1" x14ac:dyDescent="0.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ht="12.75" customHeight="1" x14ac:dyDescent="0.2">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ht="12.75" customHeight="1" x14ac:dyDescent="0.2">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ht="12.75" customHeight="1" x14ac:dyDescent="0.2">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ht="12.75" customHeight="1" x14ac:dyDescent="0.2">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ht="12.75" customHeight="1" x14ac:dyDescent="0.2">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ht="12.75" customHeight="1" x14ac:dyDescent="0.2">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ht="12.75" customHeight="1" x14ac:dyDescent="0.2">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ht="12.75" customHeight="1" x14ac:dyDescent="0.2">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ht="12.75" customHeight="1" x14ac:dyDescent="0.2">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ht="12.75" customHeight="1" x14ac:dyDescent="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ht="12.75" customHeight="1" x14ac:dyDescent="0.2">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ht="12.75" customHeight="1" x14ac:dyDescent="0.2">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ht="12.75" customHeight="1" x14ac:dyDescent="0.2">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ht="12.75" customHeight="1" x14ac:dyDescent="0.2">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ht="12.75" customHeight="1" x14ac:dyDescent="0.2">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ht="12.75" customHeight="1" x14ac:dyDescent="0.2">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ht="12.75" customHeight="1" x14ac:dyDescent="0.2">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ht="12.75" customHeight="1" x14ac:dyDescent="0.2">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ht="12.75" customHeight="1" x14ac:dyDescent="0.2">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ht="12.75" customHeight="1" x14ac:dyDescent="0.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ht="12.75" customHeight="1" x14ac:dyDescent="0.2">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ht="12.75" customHeight="1" x14ac:dyDescent="0.2">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ht="12.75" customHeight="1" x14ac:dyDescent="0.2">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ht="12.75" customHeight="1" x14ac:dyDescent="0.2">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ht="12.75" customHeight="1" x14ac:dyDescent="0.2">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ht="12.75" customHeight="1" x14ac:dyDescent="0.2">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ht="12.75" customHeight="1" x14ac:dyDescent="0.2">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ht="12.75" customHeight="1" x14ac:dyDescent="0.2">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ht="12.75" customHeight="1" x14ac:dyDescent="0.2">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ht="12.75" customHeight="1" x14ac:dyDescent="0.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ht="12.75" customHeight="1" x14ac:dyDescent="0.2">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ht="12.75" customHeight="1" x14ac:dyDescent="0.2">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ht="12.75" customHeight="1" x14ac:dyDescent="0.2">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ht="12.75" customHeight="1" x14ac:dyDescent="0.2">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ht="12.75" customHeight="1" x14ac:dyDescent="0.2">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ht="12.75" customHeight="1" x14ac:dyDescent="0.2">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ht="12.75" customHeight="1" x14ac:dyDescent="0.2">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ht="12.75" customHeight="1" x14ac:dyDescent="0.2">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ht="12.75" customHeight="1" x14ac:dyDescent="0.2">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ht="12.75" customHeight="1" x14ac:dyDescent="0.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ht="12.75" customHeight="1" x14ac:dyDescent="0.2">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ht="12.75" customHeight="1" x14ac:dyDescent="0.2">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ht="12.75" customHeight="1" x14ac:dyDescent="0.2">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ht="12.75" customHeight="1" x14ac:dyDescent="0.2">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ht="12.75" customHeight="1" x14ac:dyDescent="0.2">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ht="12.75" customHeight="1" x14ac:dyDescent="0.2">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ht="12.75" customHeight="1" x14ac:dyDescent="0.2">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ht="12.75" customHeight="1" x14ac:dyDescent="0.2">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ht="12.75" customHeight="1" x14ac:dyDescent="0.2">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ht="12.75" customHeight="1" x14ac:dyDescent="0.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ht="12.75" customHeight="1" x14ac:dyDescent="0.2">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ht="12.75" customHeight="1" x14ac:dyDescent="0.2">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ht="12.75" customHeight="1" x14ac:dyDescent="0.2">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ht="12.75" customHeight="1" x14ac:dyDescent="0.2">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ht="12.75" customHeight="1" x14ac:dyDescent="0.2">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ht="12.75" customHeight="1" x14ac:dyDescent="0.2">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ht="12.75" customHeight="1" x14ac:dyDescent="0.2">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ht="12.75" customHeight="1" x14ac:dyDescent="0.2">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ht="12.75" customHeight="1" x14ac:dyDescent="0.2">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ht="12.75" customHeight="1" x14ac:dyDescent="0.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ht="12.75" customHeight="1" x14ac:dyDescent="0.2">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ht="12.75" customHeight="1" x14ac:dyDescent="0.2">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ht="12.75" customHeight="1" x14ac:dyDescent="0.2">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ht="12.75" customHeight="1" x14ac:dyDescent="0.2">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ht="12.75" customHeight="1" x14ac:dyDescent="0.2">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ht="12.75" customHeight="1" x14ac:dyDescent="0.2">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ht="12.75" customHeight="1" x14ac:dyDescent="0.2">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ht="12.75" customHeight="1" x14ac:dyDescent="0.2">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ht="12.75" customHeight="1" x14ac:dyDescent="0.2">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ht="12.75" customHeight="1" x14ac:dyDescent="0.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ht="12.75" customHeight="1" x14ac:dyDescent="0.2">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ht="12.75" customHeight="1" x14ac:dyDescent="0.2">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ht="12.75" customHeight="1" x14ac:dyDescent="0.2">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ht="12.75" customHeight="1" x14ac:dyDescent="0.2">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ht="12.75" customHeight="1" x14ac:dyDescent="0.2">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ht="12.75" customHeight="1" x14ac:dyDescent="0.2">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ht="12.75" customHeight="1" x14ac:dyDescent="0.2">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ht="12.75" customHeight="1" x14ac:dyDescent="0.2">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ht="12.75" customHeight="1" x14ac:dyDescent="0.2">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ht="12.75" customHeight="1" x14ac:dyDescent="0.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ht="12.75" customHeight="1" x14ac:dyDescent="0.2">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ht="12.75" customHeight="1" x14ac:dyDescent="0.2">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ht="12.75" customHeight="1" x14ac:dyDescent="0.2">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ht="12.75" customHeight="1" x14ac:dyDescent="0.2">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ht="12.75" customHeight="1" x14ac:dyDescent="0.2">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ht="12.75" customHeight="1" x14ac:dyDescent="0.2">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ht="12.75" customHeight="1" x14ac:dyDescent="0.2">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ht="12.75" customHeight="1" x14ac:dyDescent="0.2">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ht="12.75" customHeight="1" x14ac:dyDescent="0.2">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ht="12.75" customHeight="1" x14ac:dyDescent="0.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ht="12.75" customHeight="1" x14ac:dyDescent="0.2">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ht="12.75" customHeight="1" x14ac:dyDescent="0.2">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ht="12.75" customHeight="1" x14ac:dyDescent="0.2">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ht="12.75" customHeight="1" x14ac:dyDescent="0.2">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ht="12.75" customHeight="1" x14ac:dyDescent="0.2">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ht="12.75" customHeight="1" x14ac:dyDescent="0.2">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ht="12.75" customHeight="1" x14ac:dyDescent="0.2">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ht="12.75" customHeight="1" x14ac:dyDescent="0.2">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ht="12.75" customHeight="1" x14ac:dyDescent="0.2">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ht="12.75" customHeight="1" x14ac:dyDescent="0.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ht="12.75" customHeight="1" x14ac:dyDescent="0.2">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ht="12.75" customHeight="1" x14ac:dyDescent="0.2">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ht="12.75" customHeight="1" x14ac:dyDescent="0.2">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ht="12.75" customHeight="1" x14ac:dyDescent="0.2">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ht="12.75" customHeight="1" x14ac:dyDescent="0.2">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ht="12.75" customHeight="1" x14ac:dyDescent="0.2">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ht="12.75" customHeight="1" x14ac:dyDescent="0.2">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ht="12.75" customHeight="1" x14ac:dyDescent="0.2">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ht="12.75" customHeight="1" x14ac:dyDescent="0.2">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ht="12.75" customHeight="1" x14ac:dyDescent="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ht="12.75" customHeight="1" x14ac:dyDescent="0.2">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ht="12.75" customHeight="1" x14ac:dyDescent="0.2">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ht="12.75" customHeight="1" x14ac:dyDescent="0.2">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ht="12.75" customHeight="1" x14ac:dyDescent="0.2">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ht="12.75" customHeight="1" x14ac:dyDescent="0.2">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ht="12.75" customHeight="1" x14ac:dyDescent="0.2">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ht="12.75" customHeight="1" x14ac:dyDescent="0.2">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ht="12.75" customHeight="1" x14ac:dyDescent="0.2">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ht="12.75" customHeight="1" x14ac:dyDescent="0.2">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ht="12.75" customHeight="1" x14ac:dyDescent="0.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ht="12.75" customHeight="1" x14ac:dyDescent="0.2">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ht="12.75" customHeight="1" x14ac:dyDescent="0.2">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ht="12.75" customHeight="1" x14ac:dyDescent="0.2">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ht="12.75" customHeight="1" x14ac:dyDescent="0.2">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ht="12.75" customHeight="1" x14ac:dyDescent="0.2">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ht="12.75" customHeight="1" x14ac:dyDescent="0.2">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ht="12.75" customHeight="1" x14ac:dyDescent="0.2">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ht="12.75" customHeight="1" x14ac:dyDescent="0.2">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ht="12.75" customHeight="1" x14ac:dyDescent="0.2">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ht="12.75" customHeight="1" x14ac:dyDescent="0.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ht="12.75" customHeight="1" x14ac:dyDescent="0.2">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ht="12.75" customHeight="1" x14ac:dyDescent="0.2">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ht="12.75" customHeight="1" x14ac:dyDescent="0.2">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ht="12.75" customHeight="1" x14ac:dyDescent="0.2">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ht="12.75" customHeight="1" x14ac:dyDescent="0.2">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ht="12.75" customHeight="1" x14ac:dyDescent="0.2">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ht="12.75" customHeight="1" x14ac:dyDescent="0.2">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ht="12.75" customHeight="1" x14ac:dyDescent="0.2">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ht="12.75" customHeight="1" x14ac:dyDescent="0.2">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ht="12.75" customHeight="1" x14ac:dyDescent="0.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ht="12.75" customHeight="1" x14ac:dyDescent="0.2">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ht="12.75" customHeight="1" x14ac:dyDescent="0.2">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ht="12.75" customHeight="1" x14ac:dyDescent="0.2">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ht="12.75" customHeight="1" x14ac:dyDescent="0.2">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ht="12.75" customHeight="1" x14ac:dyDescent="0.2">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ht="12.75" customHeight="1" x14ac:dyDescent="0.2">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ht="12.75" customHeight="1" x14ac:dyDescent="0.2">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ht="12.75" customHeight="1" x14ac:dyDescent="0.2">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ht="12.75" customHeight="1" x14ac:dyDescent="0.2">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ht="12.75" customHeight="1" x14ac:dyDescent="0.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ht="12.75" customHeight="1" x14ac:dyDescent="0.2">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ht="12.75" customHeight="1" x14ac:dyDescent="0.2">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ht="12.75" customHeight="1" x14ac:dyDescent="0.2">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ht="12.75" customHeight="1" x14ac:dyDescent="0.2">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ht="12.75" customHeight="1" x14ac:dyDescent="0.2">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ht="12.75" customHeight="1" x14ac:dyDescent="0.2">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ht="12.75" customHeight="1" x14ac:dyDescent="0.2">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ht="12.75" customHeight="1" x14ac:dyDescent="0.2">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ht="12.75" customHeight="1" x14ac:dyDescent="0.2">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ht="12.75" customHeight="1" x14ac:dyDescent="0.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ht="12.75" customHeight="1" x14ac:dyDescent="0.2">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ht="12.75" customHeight="1" x14ac:dyDescent="0.2">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ht="12.75" customHeight="1" x14ac:dyDescent="0.2">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ht="12.75" customHeight="1" x14ac:dyDescent="0.2">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ht="12.75" customHeight="1" x14ac:dyDescent="0.2">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ht="12.75" customHeight="1" x14ac:dyDescent="0.2">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ht="12.75" customHeight="1" x14ac:dyDescent="0.2">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ht="12.75" customHeight="1" x14ac:dyDescent="0.2">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ht="12.75" customHeight="1" x14ac:dyDescent="0.2">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ht="12.75" customHeight="1" x14ac:dyDescent="0.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ht="12.75" customHeight="1" x14ac:dyDescent="0.2">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ht="12.75" customHeight="1" x14ac:dyDescent="0.2">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ht="12.75" customHeight="1" x14ac:dyDescent="0.2">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ht="12.75" customHeight="1" x14ac:dyDescent="0.2">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ht="12.75" customHeight="1" x14ac:dyDescent="0.2">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ht="12.75" customHeight="1" x14ac:dyDescent="0.2">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ht="12.75" customHeight="1" x14ac:dyDescent="0.2">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ht="12.75" customHeight="1" x14ac:dyDescent="0.2">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ht="12.75" customHeight="1" x14ac:dyDescent="0.2">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ht="12.75" customHeight="1" x14ac:dyDescent="0.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ht="12.75" customHeight="1" x14ac:dyDescent="0.2">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ht="12.75" customHeight="1" x14ac:dyDescent="0.2">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ht="12.75" customHeight="1" x14ac:dyDescent="0.2">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ht="12.75" customHeight="1" x14ac:dyDescent="0.2">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ht="12.75" customHeight="1" x14ac:dyDescent="0.2">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ht="12.75" customHeight="1" x14ac:dyDescent="0.2">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ht="12.75" customHeight="1" x14ac:dyDescent="0.2">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ht="12.75" customHeight="1" x14ac:dyDescent="0.2">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ht="12.75" customHeight="1" x14ac:dyDescent="0.2">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ht="12.75" customHeight="1" x14ac:dyDescent="0.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ht="12.75" customHeight="1" x14ac:dyDescent="0.2">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ht="12.75" customHeight="1" x14ac:dyDescent="0.2">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ht="12.75" customHeight="1" x14ac:dyDescent="0.2">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ht="12.75" customHeight="1" x14ac:dyDescent="0.2">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ht="12.75" customHeight="1" x14ac:dyDescent="0.2">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ht="12.75" customHeight="1" x14ac:dyDescent="0.2">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ht="12.75" customHeight="1" x14ac:dyDescent="0.2">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ht="12.75" customHeight="1" x14ac:dyDescent="0.2">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ht="12.75" customHeight="1" x14ac:dyDescent="0.2">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ht="12.75" customHeight="1" x14ac:dyDescent="0.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ht="12.75" customHeight="1" x14ac:dyDescent="0.2">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ht="12.75" customHeight="1" x14ac:dyDescent="0.2">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ht="12.75" customHeight="1" x14ac:dyDescent="0.2">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ht="12.75" customHeight="1" x14ac:dyDescent="0.2">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ht="12.75" customHeight="1" x14ac:dyDescent="0.2">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ht="12.75" customHeight="1" x14ac:dyDescent="0.2">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ht="12.75" customHeight="1" x14ac:dyDescent="0.2">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ht="12.75" customHeight="1" x14ac:dyDescent="0.2">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ht="12.75" customHeight="1" x14ac:dyDescent="0.2">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ht="12.75" customHeight="1" x14ac:dyDescent="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ht="12.75" customHeight="1" x14ac:dyDescent="0.2">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ht="12.75" customHeight="1" x14ac:dyDescent="0.2">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ht="12.75" customHeight="1" x14ac:dyDescent="0.2">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ht="12.75" customHeight="1" x14ac:dyDescent="0.2">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ht="12.75" customHeight="1" x14ac:dyDescent="0.2">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ht="12.75" customHeight="1" x14ac:dyDescent="0.2">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ht="12.75" customHeight="1" x14ac:dyDescent="0.2">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ht="12.75" customHeight="1" x14ac:dyDescent="0.2">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ht="12.75" customHeight="1" x14ac:dyDescent="0.2">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ht="12.75" customHeight="1" x14ac:dyDescent="0.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ht="12.75" customHeight="1" x14ac:dyDescent="0.2">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ht="12.75" customHeight="1" x14ac:dyDescent="0.2">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ht="12.75" customHeight="1" x14ac:dyDescent="0.2">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ht="12.75" customHeight="1" x14ac:dyDescent="0.2">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ht="12.75" customHeight="1" x14ac:dyDescent="0.2">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ht="12.75" customHeight="1" x14ac:dyDescent="0.2">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ht="12.75" customHeight="1" x14ac:dyDescent="0.2">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ht="12.75" customHeight="1" x14ac:dyDescent="0.2">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ht="12.75" customHeight="1" x14ac:dyDescent="0.2">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ht="12.75" customHeight="1" x14ac:dyDescent="0.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ht="12.75" customHeight="1" x14ac:dyDescent="0.2">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ht="12.75" customHeight="1" x14ac:dyDescent="0.2">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ht="12.75" customHeight="1" x14ac:dyDescent="0.2">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ht="12.75" customHeight="1" x14ac:dyDescent="0.2">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ht="12.75" customHeight="1" x14ac:dyDescent="0.2">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ht="12.75" customHeight="1" x14ac:dyDescent="0.2">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ht="12.75" customHeight="1" x14ac:dyDescent="0.2">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ht="12.75" customHeight="1" x14ac:dyDescent="0.2">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ht="12.75" customHeight="1" x14ac:dyDescent="0.2">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ht="12.75" customHeight="1" x14ac:dyDescent="0.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ht="12.75" customHeight="1" x14ac:dyDescent="0.2">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ht="12.75" customHeight="1" x14ac:dyDescent="0.2">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ht="12.75" customHeight="1" x14ac:dyDescent="0.2">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ht="12.75" customHeight="1" x14ac:dyDescent="0.2">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ht="12.75" customHeight="1" x14ac:dyDescent="0.2">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ht="12.75" customHeight="1" x14ac:dyDescent="0.2">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ht="12.75" customHeight="1" x14ac:dyDescent="0.2">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ht="12.75" customHeight="1" x14ac:dyDescent="0.2">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ht="12.75" customHeight="1" x14ac:dyDescent="0.2">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ht="12.75" customHeight="1" x14ac:dyDescent="0.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ht="12.75" customHeight="1" x14ac:dyDescent="0.2">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ht="12.75" customHeight="1" x14ac:dyDescent="0.2">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ht="12.75" customHeight="1" x14ac:dyDescent="0.2">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ht="12.75" customHeight="1" x14ac:dyDescent="0.2">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ht="12.75" customHeight="1" x14ac:dyDescent="0.2">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ht="12.75" customHeight="1" x14ac:dyDescent="0.2">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ht="12.75" customHeight="1" x14ac:dyDescent="0.2">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ht="12.75" customHeight="1" x14ac:dyDescent="0.2">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ht="12.75" customHeight="1" x14ac:dyDescent="0.2">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ht="12.75" customHeight="1" x14ac:dyDescent="0.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ht="12.75" customHeight="1" x14ac:dyDescent="0.2">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ht="12.75" customHeight="1" x14ac:dyDescent="0.2">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ht="12.75" customHeight="1" x14ac:dyDescent="0.2">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ht="12.75" customHeight="1" x14ac:dyDescent="0.2">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ht="12.75" customHeight="1" x14ac:dyDescent="0.2">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ht="12.75" customHeight="1" x14ac:dyDescent="0.2">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ht="12.75" customHeight="1" x14ac:dyDescent="0.2">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ht="12.75" customHeight="1" x14ac:dyDescent="0.2">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ht="12.75" customHeight="1" x14ac:dyDescent="0.2">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ht="12.75" customHeight="1" x14ac:dyDescent="0.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ht="12.75" customHeight="1" x14ac:dyDescent="0.2">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ht="12.75" customHeight="1" x14ac:dyDescent="0.2">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ht="12.75" customHeight="1" x14ac:dyDescent="0.2">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ht="12.75" customHeight="1" x14ac:dyDescent="0.2">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ht="12.75" customHeight="1" x14ac:dyDescent="0.2">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ht="12.75" customHeight="1" x14ac:dyDescent="0.2">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ht="12.75" customHeight="1" x14ac:dyDescent="0.2">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ht="12.75" customHeight="1" x14ac:dyDescent="0.2">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ht="12.75" customHeight="1" x14ac:dyDescent="0.2">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ht="12.75" customHeight="1" x14ac:dyDescent="0.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ht="12.75" customHeight="1" x14ac:dyDescent="0.2">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ht="12.75" customHeight="1" x14ac:dyDescent="0.2">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ht="12.75" customHeight="1" x14ac:dyDescent="0.2">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ht="12.75" customHeight="1" x14ac:dyDescent="0.2">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ht="12.75" customHeight="1" x14ac:dyDescent="0.2">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ht="12.75" customHeight="1" x14ac:dyDescent="0.2">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ht="12.75" customHeight="1" x14ac:dyDescent="0.2">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ht="12.75" customHeight="1" x14ac:dyDescent="0.2">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ht="12.75" customHeight="1" x14ac:dyDescent="0.2">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ht="12.75" customHeight="1" x14ac:dyDescent="0.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ht="12.75" customHeight="1" x14ac:dyDescent="0.2">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ht="12.75" customHeight="1" x14ac:dyDescent="0.2">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ht="12.75" customHeight="1" x14ac:dyDescent="0.2">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ht="12.75" customHeight="1" x14ac:dyDescent="0.2">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ht="12.75" customHeight="1" x14ac:dyDescent="0.2">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ht="12.75" customHeight="1" x14ac:dyDescent="0.2">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ht="12.75" customHeight="1" x14ac:dyDescent="0.2">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ht="12.75" customHeight="1" x14ac:dyDescent="0.2">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ht="12.75" customHeight="1" x14ac:dyDescent="0.2">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ht="12.75" customHeight="1" x14ac:dyDescent="0.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ht="12.75" customHeight="1" x14ac:dyDescent="0.2">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ht="12.75" customHeight="1" x14ac:dyDescent="0.2">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ht="12.75" customHeight="1" x14ac:dyDescent="0.2">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ht="12.75" customHeight="1" x14ac:dyDescent="0.2">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ht="12.75" customHeight="1" x14ac:dyDescent="0.2">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ht="12.75" customHeight="1" x14ac:dyDescent="0.2">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ht="12.75" customHeight="1" x14ac:dyDescent="0.2">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ht="12.75" customHeight="1" x14ac:dyDescent="0.2">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ht="12.75" customHeight="1" x14ac:dyDescent="0.2">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ht="12.75" customHeight="1" x14ac:dyDescent="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ht="12.75" customHeight="1" x14ac:dyDescent="0.2">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ht="12.75" customHeight="1" x14ac:dyDescent="0.2">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ht="12.75" customHeight="1" x14ac:dyDescent="0.2">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ht="12.75" customHeight="1" x14ac:dyDescent="0.2">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ht="12.75" customHeight="1" x14ac:dyDescent="0.2">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ht="12.75" customHeight="1" x14ac:dyDescent="0.2">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ht="12.75" customHeight="1" x14ac:dyDescent="0.2">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ht="12.75" customHeight="1" x14ac:dyDescent="0.2">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ht="12.75" customHeight="1" x14ac:dyDescent="0.2">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ht="12.75" customHeight="1" x14ac:dyDescent="0.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ht="12.75" customHeight="1" x14ac:dyDescent="0.2">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ht="12.75" customHeight="1" x14ac:dyDescent="0.2">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ht="12.75" customHeight="1" x14ac:dyDescent="0.2">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ht="12.75" customHeight="1" x14ac:dyDescent="0.2">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ht="12.75" customHeight="1" x14ac:dyDescent="0.2">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ht="12.75" customHeight="1" x14ac:dyDescent="0.2">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ht="12.75" customHeight="1" x14ac:dyDescent="0.2">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ht="12.75" customHeight="1" x14ac:dyDescent="0.2">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ht="12.75" customHeight="1" x14ac:dyDescent="0.2">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ht="12.75" customHeight="1" x14ac:dyDescent="0.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ht="12.75" customHeight="1" x14ac:dyDescent="0.2">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ht="12.75" customHeight="1" x14ac:dyDescent="0.2">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ht="12.75" customHeight="1" x14ac:dyDescent="0.2">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ht="12.75" customHeight="1" x14ac:dyDescent="0.2">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ht="12.75" customHeight="1" x14ac:dyDescent="0.2">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ht="12.75" customHeight="1" x14ac:dyDescent="0.2">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ht="12.75" customHeight="1" x14ac:dyDescent="0.2">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ht="12.75" customHeight="1" x14ac:dyDescent="0.2">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ht="12.75" customHeight="1" x14ac:dyDescent="0.2">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ht="12.75" customHeight="1" x14ac:dyDescent="0.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ht="12.75" customHeight="1" x14ac:dyDescent="0.2">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ht="12.75" customHeight="1" x14ac:dyDescent="0.2">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ht="12.75" customHeight="1" x14ac:dyDescent="0.2">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ht="12.75" customHeight="1" x14ac:dyDescent="0.2">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ht="12.75" customHeight="1" x14ac:dyDescent="0.2">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ht="12.75" customHeight="1" x14ac:dyDescent="0.2">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ht="12.75" customHeight="1" x14ac:dyDescent="0.2">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ht="12.75" customHeight="1" x14ac:dyDescent="0.2">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ht="12.75" customHeight="1" x14ac:dyDescent="0.2">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ht="12.75" customHeight="1" x14ac:dyDescent="0.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ht="12.75" customHeight="1" x14ac:dyDescent="0.2">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ht="12.75" customHeight="1" x14ac:dyDescent="0.2">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ht="12.75" customHeight="1" x14ac:dyDescent="0.2">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ht="12.75" customHeight="1" x14ac:dyDescent="0.2">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ht="12.75" customHeight="1" x14ac:dyDescent="0.2">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ht="12.75" customHeight="1" x14ac:dyDescent="0.2">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ht="12.75" customHeight="1" x14ac:dyDescent="0.2">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ht="12.75" customHeight="1" x14ac:dyDescent="0.2">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ht="12.75" customHeight="1" x14ac:dyDescent="0.2">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ht="12.75" customHeight="1" x14ac:dyDescent="0.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ht="12.75" customHeight="1" x14ac:dyDescent="0.2">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ht="12.75" customHeight="1" x14ac:dyDescent="0.2">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ht="12.75" customHeight="1" x14ac:dyDescent="0.2">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ht="12.75" customHeight="1" x14ac:dyDescent="0.2">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ht="12.75" customHeight="1" x14ac:dyDescent="0.2">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ht="12.75" customHeight="1" x14ac:dyDescent="0.2">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ht="12.75" customHeight="1" x14ac:dyDescent="0.2">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ht="12.75" customHeight="1" x14ac:dyDescent="0.2">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ht="12.75" customHeight="1" x14ac:dyDescent="0.2">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ht="12.75" customHeight="1" x14ac:dyDescent="0.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ht="12.75" customHeight="1" x14ac:dyDescent="0.2">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ht="12.75" customHeight="1" x14ac:dyDescent="0.2">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ht="12.75" customHeight="1" x14ac:dyDescent="0.2">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ht="12.75" customHeight="1" x14ac:dyDescent="0.2">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ht="12.75" customHeight="1" x14ac:dyDescent="0.2">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ht="12.75" customHeight="1" x14ac:dyDescent="0.2">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ht="12.75" customHeight="1" x14ac:dyDescent="0.2">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ht="12.75" customHeight="1" x14ac:dyDescent="0.2">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ht="12.75" customHeight="1" x14ac:dyDescent="0.2">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ht="12.75" customHeight="1" x14ac:dyDescent="0.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ht="12.75" customHeight="1" x14ac:dyDescent="0.2">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ht="12.75" customHeight="1" x14ac:dyDescent="0.2">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ht="12.75" customHeight="1" x14ac:dyDescent="0.2">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ht="12.75" customHeight="1" x14ac:dyDescent="0.2">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ht="12.75" customHeight="1" x14ac:dyDescent="0.2">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ht="12.75" customHeight="1" x14ac:dyDescent="0.2">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ht="12.75" customHeight="1" x14ac:dyDescent="0.2">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ht="12.75" customHeight="1" x14ac:dyDescent="0.2">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ht="12.75" customHeight="1" x14ac:dyDescent="0.2">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ht="12.75" customHeight="1" x14ac:dyDescent="0.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ht="12.75" customHeight="1" x14ac:dyDescent="0.2">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ht="12.75" customHeight="1" x14ac:dyDescent="0.2">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ht="12.75" customHeight="1" x14ac:dyDescent="0.2">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ht="12.75" customHeight="1" x14ac:dyDescent="0.2">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ht="12.75" customHeight="1" x14ac:dyDescent="0.2">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ht="12.75" customHeight="1" x14ac:dyDescent="0.2">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ht="12.75" customHeight="1" x14ac:dyDescent="0.2">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ht="12.75" customHeight="1" x14ac:dyDescent="0.2">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ht="12.75" customHeight="1" x14ac:dyDescent="0.2">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ht="12.75" customHeight="1" x14ac:dyDescent="0.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ht="12.75" customHeight="1" x14ac:dyDescent="0.2">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ht="12.75" customHeight="1" x14ac:dyDescent="0.2">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ht="12.75" customHeight="1" x14ac:dyDescent="0.2">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ht="12.75" customHeight="1" x14ac:dyDescent="0.2">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ht="12.75" customHeight="1" x14ac:dyDescent="0.2">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ht="12.75" customHeight="1" x14ac:dyDescent="0.2">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ht="12.75" customHeight="1" x14ac:dyDescent="0.2">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ht="12.75" customHeight="1" x14ac:dyDescent="0.2">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14">
    <mergeCell ref="A26:C26"/>
    <mergeCell ref="A27:C27"/>
    <mergeCell ref="A1:C1"/>
    <mergeCell ref="A9:C9"/>
    <mergeCell ref="A10:C10"/>
    <mergeCell ref="A11:C11"/>
    <mergeCell ref="A13:C13"/>
    <mergeCell ref="A14:C14"/>
    <mergeCell ref="A15:C15"/>
    <mergeCell ref="A17:C17"/>
    <mergeCell ref="A18:C18"/>
    <mergeCell ref="A23:C23"/>
    <mergeCell ref="A24:C24"/>
    <mergeCell ref="A25:C25"/>
  </mergeCells>
  <pageMargins left="0.39370078740157483" right="0.39370078740157483" top="0.39370078740157483" bottom="0.39370078740157483"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00"/>
  <sheetViews>
    <sheetView workbookViewId="0"/>
  </sheetViews>
  <sheetFormatPr defaultColWidth="14.33203125" defaultRowHeight="15" customHeight="1" x14ac:dyDescent="0.2"/>
  <cols>
    <col min="1" max="1" width="8.6640625" customWidth="1"/>
    <col min="2" max="2" width="40.83203125" customWidth="1"/>
    <col min="3" max="3" width="45.1640625" customWidth="1"/>
    <col min="4" max="4" width="33.6640625" customWidth="1"/>
    <col min="5" max="26" width="8.6640625" customWidth="1"/>
  </cols>
  <sheetData>
    <row r="1" spans="1:26" ht="12.75" customHeight="1" x14ac:dyDescent="0.2">
      <c r="A1" s="135" t="s">
        <v>650</v>
      </c>
      <c r="B1" s="136"/>
      <c r="C1" s="136"/>
      <c r="D1" s="137"/>
    </row>
    <row r="2" spans="1:26" ht="42" customHeight="1" x14ac:dyDescent="0.2">
      <c r="A2" s="135"/>
      <c r="B2" s="136"/>
      <c r="C2" s="136"/>
      <c r="D2" s="136"/>
      <c r="E2" s="137"/>
    </row>
    <row r="3" spans="1:26" ht="27" customHeight="1" x14ac:dyDescent="0.2">
      <c r="A3" s="127"/>
      <c r="B3" s="216" t="s">
        <v>651</v>
      </c>
      <c r="C3" s="183"/>
      <c r="D3" s="184"/>
      <c r="E3" s="128"/>
    </row>
    <row r="4" spans="1:26" ht="12.75" customHeight="1" x14ac:dyDescent="0.2">
      <c r="A4" s="127"/>
      <c r="B4" s="138"/>
      <c r="C4" s="139"/>
      <c r="D4" s="140"/>
      <c r="E4" s="128"/>
    </row>
    <row r="5" spans="1:26" ht="31.5" customHeight="1" x14ac:dyDescent="0.2">
      <c r="A5" s="127"/>
      <c r="B5" s="141" t="s">
        <v>652</v>
      </c>
      <c r="C5" s="142" t="s">
        <v>625</v>
      </c>
      <c r="D5" s="143" t="s">
        <v>626</v>
      </c>
      <c r="E5" s="128"/>
    </row>
    <row r="6" spans="1:26" ht="20.25" customHeight="1" x14ac:dyDescent="0.2">
      <c r="A6" s="127"/>
      <c r="B6" s="144" t="s">
        <v>477</v>
      </c>
      <c r="C6" s="23" t="s">
        <v>653</v>
      </c>
      <c r="D6" s="27" t="s">
        <v>654</v>
      </c>
      <c r="E6" s="128"/>
    </row>
    <row r="7" spans="1:26" ht="20.25" customHeight="1" x14ac:dyDescent="0.2">
      <c r="A7" s="145"/>
      <c r="B7" s="144" t="s">
        <v>174</v>
      </c>
      <c r="C7" s="23" t="s">
        <v>655</v>
      </c>
      <c r="D7" s="27" t="s">
        <v>656</v>
      </c>
      <c r="E7" s="128"/>
    </row>
    <row r="8" spans="1:26" ht="20.25" customHeight="1" x14ac:dyDescent="0.2">
      <c r="A8" s="145"/>
      <c r="B8" s="144" t="s">
        <v>294</v>
      </c>
      <c r="C8" s="23" t="s">
        <v>657</v>
      </c>
      <c r="D8" s="27" t="s">
        <v>658</v>
      </c>
      <c r="E8" s="128"/>
    </row>
    <row r="9" spans="1:26" ht="20.25" customHeight="1" x14ac:dyDescent="0.2">
      <c r="A9" s="145"/>
      <c r="B9" s="146" t="s">
        <v>495</v>
      </c>
      <c r="C9" s="147" t="s">
        <v>657</v>
      </c>
      <c r="D9" s="148" t="s">
        <v>657</v>
      </c>
      <c r="E9" s="128"/>
    </row>
    <row r="10" spans="1:26" ht="60.75" customHeight="1" x14ac:dyDescent="0.2">
      <c r="A10" s="145"/>
      <c r="B10" s="149"/>
      <c r="C10" s="149"/>
      <c r="D10" s="149"/>
      <c r="E10" s="128"/>
    </row>
    <row r="11" spans="1:26" ht="21.75" customHeight="1" x14ac:dyDescent="0.2">
      <c r="A11" s="217" t="s">
        <v>633</v>
      </c>
      <c r="B11" s="194"/>
      <c r="C11" s="194"/>
      <c r="D11" s="194"/>
      <c r="E11" s="195"/>
    </row>
    <row r="12" spans="1:26" ht="47.25" customHeight="1" x14ac:dyDescent="0.2">
      <c r="A12" s="218" t="s">
        <v>634</v>
      </c>
      <c r="B12" s="169"/>
      <c r="C12" s="169"/>
      <c r="D12" s="169"/>
      <c r="E12" s="170"/>
    </row>
    <row r="13" spans="1:26" ht="28.5" customHeight="1" x14ac:dyDescent="0.2">
      <c r="A13" s="209" t="s">
        <v>635</v>
      </c>
      <c r="B13" s="157"/>
      <c r="C13" s="157"/>
      <c r="D13" s="157"/>
      <c r="E13" s="158"/>
      <c r="F13" s="41"/>
      <c r="G13" s="41"/>
      <c r="H13" s="41"/>
      <c r="I13" s="41"/>
      <c r="J13" s="41"/>
      <c r="K13" s="41"/>
      <c r="L13" s="41"/>
      <c r="M13" s="41"/>
      <c r="N13" s="41"/>
      <c r="O13" s="41"/>
      <c r="P13" s="41"/>
      <c r="Q13" s="41"/>
      <c r="R13" s="41"/>
      <c r="S13" s="41"/>
      <c r="T13" s="41"/>
      <c r="U13" s="41"/>
      <c r="V13" s="41"/>
      <c r="W13" s="41"/>
      <c r="X13" s="41"/>
      <c r="Y13" s="41"/>
      <c r="Z13" s="41"/>
    </row>
    <row r="14" spans="1:26" ht="15" customHeight="1" x14ac:dyDescent="0.2">
      <c r="A14" s="205" t="s">
        <v>636</v>
      </c>
      <c r="B14" s="157"/>
      <c r="C14" s="157"/>
      <c r="D14" s="157"/>
      <c r="E14" s="158"/>
      <c r="F14" s="41"/>
      <c r="G14" s="41"/>
      <c r="H14" s="41"/>
      <c r="I14" s="41"/>
      <c r="J14" s="41"/>
      <c r="K14" s="41"/>
      <c r="L14" s="41"/>
      <c r="M14" s="41"/>
      <c r="N14" s="41"/>
      <c r="O14" s="41"/>
      <c r="P14" s="41"/>
      <c r="Q14" s="41"/>
      <c r="R14" s="41"/>
      <c r="S14" s="41"/>
      <c r="T14" s="41"/>
      <c r="U14" s="41"/>
      <c r="V14" s="41"/>
      <c r="W14" s="41"/>
      <c r="X14" s="41"/>
      <c r="Y14" s="41"/>
      <c r="Z14" s="41"/>
    </row>
    <row r="15" spans="1:26" ht="12.75" customHeight="1" x14ac:dyDescent="0.2">
      <c r="A15" s="209" t="s">
        <v>637</v>
      </c>
      <c r="B15" s="157"/>
      <c r="C15" s="157"/>
      <c r="D15" s="157"/>
      <c r="E15" s="158"/>
      <c r="F15" s="58"/>
      <c r="G15" s="58"/>
      <c r="H15" s="58"/>
      <c r="I15" s="58"/>
      <c r="J15" s="58"/>
      <c r="K15" s="58"/>
      <c r="L15" s="58"/>
      <c r="M15" s="58"/>
      <c r="N15" s="58"/>
      <c r="O15" s="58"/>
      <c r="P15" s="58"/>
      <c r="Q15" s="58"/>
      <c r="R15" s="58"/>
      <c r="S15" s="58"/>
      <c r="T15" s="58"/>
      <c r="U15" s="58"/>
      <c r="V15" s="58"/>
      <c r="W15" s="58"/>
      <c r="X15" s="58"/>
      <c r="Y15" s="58"/>
      <c r="Z15" s="58"/>
    </row>
    <row r="16" spans="1:26" ht="15" customHeight="1" x14ac:dyDescent="0.2">
      <c r="A16" s="205" t="s">
        <v>638</v>
      </c>
      <c r="B16" s="157"/>
      <c r="C16" s="157"/>
      <c r="D16" s="157"/>
      <c r="E16" s="158"/>
      <c r="F16" s="41"/>
      <c r="G16" s="41"/>
      <c r="H16" s="41"/>
      <c r="I16" s="41"/>
      <c r="J16" s="41"/>
      <c r="K16" s="41"/>
      <c r="L16" s="41"/>
      <c r="M16" s="41"/>
      <c r="N16" s="41"/>
      <c r="O16" s="41"/>
      <c r="P16" s="41"/>
      <c r="Q16" s="41"/>
      <c r="R16" s="41"/>
      <c r="S16" s="41"/>
      <c r="T16" s="41"/>
      <c r="U16" s="41"/>
      <c r="V16" s="41"/>
      <c r="W16" s="41"/>
      <c r="X16" s="41"/>
      <c r="Y16" s="41"/>
      <c r="Z16" s="41"/>
    </row>
    <row r="17" spans="1:26" ht="15" customHeight="1" x14ac:dyDescent="0.2">
      <c r="A17" s="205" t="s">
        <v>639</v>
      </c>
      <c r="B17" s="157"/>
      <c r="C17" s="157"/>
      <c r="D17" s="157"/>
      <c r="E17" s="158"/>
      <c r="F17" s="41"/>
      <c r="G17" s="41"/>
      <c r="H17" s="41"/>
      <c r="I17" s="41"/>
      <c r="J17" s="41"/>
      <c r="K17" s="41"/>
      <c r="L17" s="41"/>
      <c r="M17" s="41"/>
      <c r="N17" s="41"/>
      <c r="O17" s="41"/>
      <c r="P17" s="41"/>
      <c r="Q17" s="41"/>
      <c r="R17" s="41"/>
      <c r="S17" s="41"/>
      <c r="T17" s="41"/>
      <c r="U17" s="41"/>
      <c r="V17" s="41"/>
      <c r="W17" s="41"/>
      <c r="X17" s="41"/>
      <c r="Y17" s="41"/>
      <c r="Z17" s="41"/>
    </row>
    <row r="18" spans="1:26" ht="15" customHeight="1" x14ac:dyDescent="0.2">
      <c r="A18" s="205" t="s">
        <v>640</v>
      </c>
      <c r="B18" s="157"/>
      <c r="C18" s="157"/>
      <c r="D18" s="157"/>
      <c r="E18" s="158"/>
      <c r="F18" s="41"/>
      <c r="G18" s="41"/>
      <c r="H18" s="41"/>
      <c r="I18" s="41"/>
      <c r="J18" s="41"/>
      <c r="K18" s="41"/>
      <c r="L18" s="41"/>
      <c r="M18" s="41"/>
      <c r="N18" s="41"/>
      <c r="O18" s="41"/>
      <c r="P18" s="41"/>
      <c r="Q18" s="41"/>
      <c r="R18" s="41"/>
      <c r="S18" s="41"/>
      <c r="T18" s="41"/>
      <c r="U18" s="41"/>
      <c r="V18" s="41"/>
      <c r="W18" s="41"/>
      <c r="X18" s="41"/>
      <c r="Y18" s="41"/>
      <c r="Z18" s="41"/>
    </row>
    <row r="19" spans="1:26" ht="15" customHeight="1" x14ac:dyDescent="0.2">
      <c r="A19" s="205"/>
      <c r="B19" s="157"/>
      <c r="C19" s="157"/>
      <c r="D19" s="157"/>
      <c r="E19" s="158"/>
      <c r="F19" s="41"/>
      <c r="G19" s="41"/>
      <c r="H19" s="41"/>
      <c r="I19" s="41"/>
      <c r="J19" s="41"/>
      <c r="K19" s="41"/>
      <c r="L19" s="41"/>
      <c r="M19" s="41"/>
      <c r="N19" s="41"/>
      <c r="O19" s="41"/>
      <c r="P19" s="41"/>
      <c r="Q19" s="41"/>
      <c r="R19" s="41"/>
      <c r="S19" s="41"/>
      <c r="T19" s="41"/>
      <c r="U19" s="41"/>
      <c r="V19" s="41"/>
      <c r="W19" s="41"/>
      <c r="X19" s="41"/>
      <c r="Y19" s="41"/>
      <c r="Z19" s="41"/>
    </row>
    <row r="20" spans="1:26" ht="15" customHeight="1" x14ac:dyDescent="0.2">
      <c r="A20" s="211" t="s">
        <v>641</v>
      </c>
      <c r="B20" s="157"/>
      <c r="C20" s="157"/>
      <c r="D20" s="157"/>
      <c r="E20" s="158"/>
      <c r="F20" s="41"/>
      <c r="G20" s="41"/>
      <c r="H20" s="41"/>
      <c r="I20" s="41"/>
      <c r="J20" s="41"/>
      <c r="K20" s="41"/>
      <c r="L20" s="41"/>
      <c r="M20" s="41"/>
      <c r="N20" s="41"/>
      <c r="O20" s="41"/>
      <c r="P20" s="41"/>
      <c r="Q20" s="41"/>
      <c r="R20" s="41"/>
      <c r="S20" s="41"/>
      <c r="T20" s="41"/>
      <c r="U20" s="41"/>
      <c r="V20" s="41"/>
      <c r="W20" s="41"/>
      <c r="X20" s="41"/>
      <c r="Y20" s="41"/>
      <c r="Z20" s="41"/>
    </row>
    <row r="21" spans="1:26" ht="15" customHeight="1" x14ac:dyDescent="0.2">
      <c r="A21" s="205" t="s">
        <v>642</v>
      </c>
      <c r="B21" s="157"/>
      <c r="C21" s="157"/>
      <c r="D21" s="157"/>
      <c r="E21" s="158"/>
      <c r="F21" s="41"/>
      <c r="G21" s="41"/>
      <c r="H21" s="41"/>
      <c r="I21" s="41"/>
      <c r="J21" s="41"/>
      <c r="K21" s="41"/>
      <c r="L21" s="41"/>
      <c r="M21" s="41"/>
      <c r="N21" s="41"/>
      <c r="O21" s="41"/>
      <c r="P21" s="41"/>
      <c r="Q21" s="41"/>
      <c r="R21" s="41"/>
      <c r="S21" s="41"/>
      <c r="T21" s="41"/>
      <c r="U21" s="41"/>
      <c r="V21" s="41"/>
      <c r="W21" s="41"/>
      <c r="X21" s="41"/>
      <c r="Y21" s="41"/>
      <c r="Z21" s="41"/>
    </row>
    <row r="22" spans="1:26" ht="15" customHeight="1" x14ac:dyDescent="0.2">
      <c r="A22" s="205" t="s">
        <v>643</v>
      </c>
      <c r="B22" s="157"/>
      <c r="C22" s="157"/>
      <c r="D22" s="157"/>
      <c r="E22" s="158"/>
      <c r="F22" s="41"/>
      <c r="G22" s="41"/>
      <c r="H22" s="41"/>
      <c r="I22" s="41"/>
      <c r="J22" s="41"/>
      <c r="K22" s="41"/>
      <c r="L22" s="41"/>
      <c r="M22" s="41"/>
      <c r="N22" s="41"/>
      <c r="O22" s="41"/>
      <c r="P22" s="41"/>
      <c r="Q22" s="41"/>
      <c r="R22" s="41"/>
      <c r="S22" s="41"/>
      <c r="T22" s="41"/>
      <c r="U22" s="41"/>
      <c r="V22" s="41"/>
      <c r="W22" s="41"/>
      <c r="X22" s="41"/>
      <c r="Y22" s="41"/>
      <c r="Z22" s="41"/>
    </row>
    <row r="23" spans="1:26" ht="15" customHeight="1" x14ac:dyDescent="0.2">
      <c r="A23" s="205" t="s">
        <v>644</v>
      </c>
      <c r="B23" s="157"/>
      <c r="C23" s="157"/>
      <c r="D23" s="157"/>
      <c r="E23" s="158"/>
      <c r="F23" s="41"/>
      <c r="G23" s="41"/>
      <c r="H23" s="41"/>
      <c r="I23" s="41"/>
      <c r="J23" s="41"/>
      <c r="K23" s="41"/>
      <c r="L23" s="41"/>
      <c r="M23" s="41"/>
      <c r="N23" s="41"/>
      <c r="O23" s="41"/>
      <c r="P23" s="41"/>
      <c r="Q23" s="41"/>
      <c r="R23" s="41"/>
      <c r="S23" s="41"/>
      <c r="T23" s="41"/>
      <c r="U23" s="41"/>
      <c r="V23" s="41"/>
      <c r="W23" s="41"/>
      <c r="X23" s="41"/>
      <c r="Y23" s="41"/>
      <c r="Z23" s="41"/>
    </row>
    <row r="24" spans="1:26" ht="15" customHeight="1" x14ac:dyDescent="0.2">
      <c r="A24" s="205" t="s">
        <v>645</v>
      </c>
      <c r="B24" s="157"/>
      <c r="C24" s="157"/>
      <c r="D24" s="157"/>
      <c r="E24" s="158"/>
      <c r="F24" s="41"/>
      <c r="G24" s="41"/>
      <c r="H24" s="41"/>
      <c r="I24" s="41"/>
      <c r="J24" s="41"/>
      <c r="K24" s="41"/>
      <c r="L24" s="41"/>
      <c r="M24" s="41"/>
      <c r="N24" s="41"/>
      <c r="O24" s="41"/>
      <c r="P24" s="41"/>
      <c r="Q24" s="41"/>
      <c r="R24" s="41"/>
      <c r="S24" s="41"/>
      <c r="T24" s="41"/>
      <c r="U24" s="41"/>
      <c r="V24" s="41"/>
      <c r="W24" s="41"/>
      <c r="X24" s="41"/>
      <c r="Y24" s="41"/>
      <c r="Z24" s="41"/>
    </row>
    <row r="25" spans="1:26" ht="15" customHeight="1" x14ac:dyDescent="0.2">
      <c r="A25" s="205"/>
      <c r="B25" s="157"/>
      <c r="C25" s="157"/>
      <c r="D25" s="157"/>
      <c r="E25" s="158"/>
      <c r="F25" s="41"/>
      <c r="G25" s="41"/>
      <c r="H25" s="41"/>
      <c r="I25" s="41"/>
      <c r="J25" s="41"/>
      <c r="K25" s="41"/>
      <c r="L25" s="41"/>
      <c r="M25" s="41"/>
      <c r="N25" s="41"/>
      <c r="O25" s="41"/>
      <c r="P25" s="41"/>
      <c r="Q25" s="41"/>
      <c r="R25" s="41"/>
      <c r="S25" s="41"/>
      <c r="T25" s="41"/>
      <c r="U25" s="41"/>
      <c r="V25" s="41"/>
      <c r="W25" s="41"/>
      <c r="X25" s="41"/>
      <c r="Y25" s="41"/>
      <c r="Z25" s="41"/>
    </row>
    <row r="26" spans="1:26" ht="15" customHeight="1" x14ac:dyDescent="0.2">
      <c r="A26" s="212" t="s">
        <v>646</v>
      </c>
      <c r="B26" s="157"/>
      <c r="C26" s="157"/>
      <c r="D26" s="157"/>
      <c r="E26" s="158"/>
      <c r="F26" s="41"/>
      <c r="G26" s="41"/>
      <c r="H26" s="41"/>
      <c r="I26" s="41"/>
      <c r="J26" s="41"/>
      <c r="K26" s="41"/>
      <c r="L26" s="41"/>
      <c r="M26" s="41"/>
      <c r="N26" s="41"/>
      <c r="O26" s="41"/>
      <c r="P26" s="41"/>
      <c r="Q26" s="41"/>
      <c r="R26" s="41"/>
      <c r="S26" s="41"/>
      <c r="T26" s="41"/>
      <c r="U26" s="41"/>
      <c r="V26" s="41"/>
      <c r="W26" s="41"/>
      <c r="X26" s="41"/>
      <c r="Y26" s="41"/>
      <c r="Z26" s="41"/>
    </row>
    <row r="27" spans="1:26" ht="111.75" customHeight="1" x14ac:dyDescent="0.2">
      <c r="A27" s="209" t="s">
        <v>659</v>
      </c>
      <c r="B27" s="157"/>
      <c r="C27" s="157"/>
      <c r="D27" s="157"/>
      <c r="E27" s="158"/>
      <c r="F27" s="41"/>
      <c r="G27" s="41"/>
      <c r="H27" s="41"/>
      <c r="I27" s="41"/>
      <c r="J27" s="41"/>
      <c r="K27" s="41"/>
      <c r="L27" s="41"/>
      <c r="M27" s="41"/>
      <c r="N27" s="41"/>
      <c r="O27" s="41"/>
      <c r="P27" s="41"/>
      <c r="Q27" s="41"/>
      <c r="R27" s="41"/>
      <c r="S27" s="41"/>
      <c r="T27" s="41"/>
      <c r="U27" s="41"/>
      <c r="V27" s="41"/>
      <c r="W27" s="41"/>
      <c r="X27" s="41"/>
      <c r="Y27" s="41"/>
      <c r="Z27" s="41"/>
    </row>
    <row r="28" spans="1:26" ht="15" customHeight="1" x14ac:dyDescent="0.2">
      <c r="A28" s="205" t="s">
        <v>648</v>
      </c>
      <c r="B28" s="157"/>
      <c r="C28" s="157"/>
      <c r="D28" s="157"/>
      <c r="E28" s="158"/>
      <c r="F28" s="41"/>
      <c r="G28" s="41"/>
      <c r="H28" s="41"/>
      <c r="I28" s="41"/>
      <c r="J28" s="41"/>
      <c r="K28" s="41"/>
      <c r="L28" s="41"/>
      <c r="M28" s="41"/>
      <c r="N28" s="41"/>
      <c r="O28" s="41"/>
      <c r="P28" s="41"/>
      <c r="Q28" s="41"/>
      <c r="R28" s="41"/>
      <c r="S28" s="41"/>
      <c r="T28" s="41"/>
      <c r="U28" s="41"/>
      <c r="V28" s="41"/>
      <c r="W28" s="41"/>
      <c r="X28" s="41"/>
      <c r="Y28" s="41"/>
      <c r="Z28" s="41"/>
    </row>
    <row r="29" spans="1:26" ht="15" customHeight="1" x14ac:dyDescent="0.2">
      <c r="A29" s="205" t="s">
        <v>649</v>
      </c>
      <c r="B29" s="157"/>
      <c r="C29" s="157"/>
      <c r="D29" s="157"/>
      <c r="E29" s="158"/>
      <c r="F29" s="41"/>
      <c r="G29" s="41"/>
      <c r="H29" s="41"/>
      <c r="I29" s="41"/>
      <c r="J29" s="41"/>
      <c r="K29" s="41"/>
      <c r="L29" s="41"/>
      <c r="M29" s="41"/>
      <c r="N29" s="41"/>
      <c r="O29" s="41"/>
      <c r="P29" s="41"/>
      <c r="Q29" s="41"/>
      <c r="R29" s="41"/>
      <c r="S29" s="41"/>
      <c r="T29" s="41"/>
      <c r="U29" s="41"/>
      <c r="V29" s="41"/>
      <c r="W29" s="41"/>
      <c r="X29" s="41"/>
      <c r="Y29" s="41"/>
      <c r="Z29" s="41"/>
    </row>
    <row r="30" spans="1:26" ht="15" customHeight="1" x14ac:dyDescent="0.2">
      <c r="A30" s="205" t="s">
        <v>660</v>
      </c>
      <c r="B30" s="157"/>
      <c r="C30" s="157"/>
      <c r="D30" s="157"/>
      <c r="E30" s="158"/>
      <c r="F30" s="41"/>
      <c r="G30" s="41"/>
      <c r="H30" s="41"/>
      <c r="I30" s="41"/>
      <c r="J30" s="41"/>
      <c r="K30" s="41"/>
      <c r="L30" s="41"/>
      <c r="M30" s="41"/>
      <c r="N30" s="41"/>
      <c r="O30" s="41"/>
      <c r="P30" s="41"/>
      <c r="Q30" s="41"/>
      <c r="R30" s="41"/>
      <c r="S30" s="41"/>
      <c r="T30" s="41"/>
      <c r="U30" s="41"/>
      <c r="V30" s="41"/>
      <c r="W30" s="41"/>
      <c r="X30" s="41"/>
      <c r="Y30" s="41"/>
      <c r="Z30" s="41"/>
    </row>
    <row r="31" spans="1:26" ht="15" customHeight="1" x14ac:dyDescent="0.2">
      <c r="A31" s="205" t="s">
        <v>661</v>
      </c>
      <c r="B31" s="157"/>
      <c r="C31" s="157"/>
      <c r="D31" s="157"/>
      <c r="E31" s="158"/>
      <c r="F31" s="41"/>
      <c r="G31" s="41"/>
      <c r="H31" s="41"/>
      <c r="I31" s="41"/>
      <c r="J31" s="41"/>
      <c r="K31" s="41"/>
      <c r="L31" s="41"/>
      <c r="M31" s="41"/>
      <c r="N31" s="41"/>
      <c r="O31" s="41"/>
      <c r="P31" s="41"/>
      <c r="Q31" s="41"/>
      <c r="R31" s="41"/>
      <c r="S31" s="41"/>
      <c r="T31" s="41"/>
      <c r="U31" s="41"/>
      <c r="V31" s="41"/>
      <c r="W31" s="41"/>
      <c r="X31" s="41"/>
      <c r="Y31" s="41"/>
      <c r="Z31" s="41"/>
    </row>
    <row r="32" spans="1:26" ht="16.5" customHeight="1" x14ac:dyDescent="0.2">
      <c r="A32" s="209" t="s">
        <v>662</v>
      </c>
      <c r="B32" s="157"/>
      <c r="C32" s="157"/>
      <c r="D32" s="157"/>
      <c r="E32" s="158"/>
      <c r="F32" s="41"/>
      <c r="G32" s="41"/>
      <c r="H32" s="41"/>
      <c r="I32" s="41"/>
      <c r="J32" s="41"/>
      <c r="K32" s="41"/>
      <c r="L32" s="41"/>
      <c r="M32" s="41"/>
      <c r="N32" s="41"/>
      <c r="O32" s="41"/>
      <c r="P32" s="41"/>
      <c r="Q32" s="41"/>
      <c r="R32" s="41"/>
      <c r="S32" s="41"/>
      <c r="T32" s="41"/>
      <c r="U32" s="41"/>
      <c r="V32" s="41"/>
      <c r="W32" s="41"/>
      <c r="X32" s="41"/>
      <c r="Y32" s="41"/>
      <c r="Z32" s="41"/>
    </row>
    <row r="33" spans="1:26" ht="15" customHeight="1" x14ac:dyDescent="0.2">
      <c r="A33" s="205" t="s">
        <v>663</v>
      </c>
      <c r="B33" s="157"/>
      <c r="C33" s="157"/>
      <c r="D33" s="157"/>
      <c r="E33" s="158"/>
      <c r="F33" s="41"/>
      <c r="G33" s="41"/>
      <c r="H33" s="41"/>
      <c r="I33" s="41"/>
      <c r="J33" s="41"/>
      <c r="K33" s="41"/>
      <c r="L33" s="41"/>
      <c r="M33" s="41"/>
      <c r="N33" s="41"/>
      <c r="O33" s="41"/>
      <c r="P33" s="41"/>
      <c r="Q33" s="41"/>
      <c r="R33" s="41"/>
      <c r="S33" s="41"/>
      <c r="T33" s="41"/>
      <c r="U33" s="41"/>
      <c r="V33" s="41"/>
      <c r="W33" s="41"/>
      <c r="X33" s="41"/>
      <c r="Y33" s="41"/>
      <c r="Z33" s="41"/>
    </row>
    <row r="34" spans="1:26" ht="15" customHeight="1" x14ac:dyDescent="0.2">
      <c r="A34" s="212" t="s">
        <v>664</v>
      </c>
      <c r="B34" s="157"/>
      <c r="C34" s="157"/>
      <c r="D34" s="157"/>
      <c r="E34" s="158"/>
      <c r="F34" s="41"/>
      <c r="G34" s="41"/>
      <c r="H34" s="41"/>
      <c r="I34" s="41"/>
      <c r="J34" s="41"/>
      <c r="K34" s="41"/>
      <c r="L34" s="41"/>
      <c r="M34" s="41"/>
      <c r="N34" s="41"/>
      <c r="O34" s="41"/>
      <c r="P34" s="41"/>
      <c r="Q34" s="41"/>
      <c r="R34" s="41"/>
      <c r="S34" s="41"/>
      <c r="T34" s="41"/>
      <c r="U34" s="41"/>
      <c r="V34" s="41"/>
      <c r="W34" s="41"/>
      <c r="X34" s="41"/>
      <c r="Y34" s="41"/>
      <c r="Z34" s="41"/>
    </row>
    <row r="35" spans="1:26" ht="40.5" customHeight="1" x14ac:dyDescent="0.2">
      <c r="A35" s="209" t="s">
        <v>665</v>
      </c>
      <c r="B35" s="157"/>
      <c r="C35" s="157"/>
      <c r="D35" s="157"/>
      <c r="E35" s="158"/>
      <c r="F35" s="41"/>
      <c r="G35" s="41"/>
      <c r="H35" s="41"/>
      <c r="I35" s="41"/>
      <c r="J35" s="41"/>
      <c r="K35" s="41"/>
      <c r="L35" s="41"/>
      <c r="M35" s="41"/>
      <c r="N35" s="41"/>
      <c r="O35" s="41"/>
      <c r="P35" s="41"/>
      <c r="Q35" s="41"/>
      <c r="R35" s="41"/>
      <c r="S35" s="41"/>
      <c r="T35" s="41"/>
      <c r="U35" s="41"/>
      <c r="V35" s="41"/>
      <c r="W35" s="41"/>
      <c r="X35" s="41"/>
      <c r="Y35" s="41"/>
      <c r="Z35" s="41"/>
    </row>
    <row r="36" spans="1:26" ht="15" customHeight="1" x14ac:dyDescent="0.2">
      <c r="A36" s="205"/>
      <c r="B36" s="157"/>
      <c r="C36" s="157"/>
      <c r="D36" s="157"/>
      <c r="E36" s="158"/>
    </row>
    <row r="37" spans="1:26" ht="12.75" customHeight="1" x14ac:dyDescent="0.2">
      <c r="A37" s="212" t="s">
        <v>666</v>
      </c>
      <c r="B37" s="157"/>
      <c r="C37" s="157"/>
      <c r="D37" s="157"/>
      <c r="E37" s="158"/>
    </row>
    <row r="38" spans="1:26" ht="12.75" customHeight="1" x14ac:dyDescent="0.2">
      <c r="A38" s="205" t="s">
        <v>667</v>
      </c>
      <c r="B38" s="157"/>
      <c r="C38" s="157"/>
      <c r="D38" s="157"/>
      <c r="E38" s="158"/>
    </row>
    <row r="39" spans="1:26" ht="12" customHeight="1" x14ac:dyDescent="0.2">
      <c r="A39" s="205"/>
      <c r="B39" s="157"/>
      <c r="C39" s="157"/>
      <c r="D39" s="157"/>
      <c r="E39" s="158"/>
    </row>
    <row r="40" spans="1:26" ht="12.75" customHeight="1" x14ac:dyDescent="0.2">
      <c r="A40" s="213"/>
      <c r="B40" s="214"/>
      <c r="C40" s="214"/>
      <c r="D40" s="214"/>
      <c r="E40" s="215"/>
    </row>
    <row r="41" spans="1:26" ht="12.75" customHeight="1" x14ac:dyDescent="0.2"/>
    <row r="42" spans="1:26" ht="12.75" customHeight="1" x14ac:dyDescent="0.2"/>
    <row r="43" spans="1:26" ht="12.75" customHeight="1" x14ac:dyDescent="0.2"/>
    <row r="44" spans="1:26" ht="12.75" customHeight="1" x14ac:dyDescent="0.2"/>
    <row r="45" spans="1:26" ht="12.75" customHeight="1" x14ac:dyDescent="0.2"/>
    <row r="46" spans="1:26" ht="12.75" customHeight="1" x14ac:dyDescent="0.2"/>
    <row r="47" spans="1:26" ht="12.75" customHeight="1" x14ac:dyDescent="0.2"/>
    <row r="48" spans="1:26"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31">
    <mergeCell ref="B3:D3"/>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8:E38"/>
    <mergeCell ref="A39:E39"/>
    <mergeCell ref="A40:E40"/>
    <mergeCell ref="A31:E31"/>
    <mergeCell ref="A32:E32"/>
    <mergeCell ref="A33:E33"/>
    <mergeCell ref="A34:E34"/>
    <mergeCell ref="A35:E35"/>
    <mergeCell ref="A36:E36"/>
    <mergeCell ref="A37:E37"/>
  </mergeCells>
  <printOptions horizontalCentered="1"/>
  <pageMargins left="0.39370078740157483" right="0.39370078740157483" top="0.39370078740157483" bottom="0.39370078740157483"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 2</vt:lpstr>
      <vt:lpstr>Sheet2</vt:lpstr>
      <vt:lpstr>Sheet4</vt:lpstr>
      <vt:lpstr>Sheet1</vt:lpstr>
      <vt:lpstr>Sheet3</vt:lpstr>
      <vt:lpstr>Table 3</vt:lpstr>
      <vt:lpstr>Table 3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HKC01</cp:lastModifiedBy>
  <dcterms:created xsi:type="dcterms:W3CDTF">2023-06-28T07:54:50Z</dcterms:created>
  <dcterms:modified xsi:type="dcterms:W3CDTF">2025-08-19T10:33:43Z</dcterms:modified>
</cp:coreProperties>
</file>